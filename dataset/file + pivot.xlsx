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4E56DA71-23B6-45E5-BDDA-54D5B1A28D1B}" xr6:coauthVersionLast="47" xr6:coauthVersionMax="47" xr10:uidLastSave="{00000000-0000-0000-0000-000000000000}"/>
  <bookViews>
    <workbookView xWindow="-110" yWindow="-110" windowWidth="19420" windowHeight="11500" tabRatio="696" firstSheet="5" activeTab="7" xr2:uid="{AC0B3D09-66DB-4314-B85F-35E0001B078A}"/>
  </bookViews>
  <sheets>
    <sheet name="Sales by category" sheetId="4" r:id="rId1"/>
    <sheet name="pivot_profit_by_category" sheetId="5" r:id="rId2"/>
    <sheet name="pivot sales by region" sheetId="6" r:id="rId3"/>
    <sheet name="pivot sales by month" sheetId="7" r:id="rId4"/>
    <sheet name="pivot top product by sales" sheetId="8" r:id="rId5"/>
    <sheet name="pivot_top_product_profit" sheetId="9" r:id="rId6"/>
    <sheet name="sales_performance_dataset " sheetId="1" r:id="rId7"/>
    <sheet name="initial_insights" sheetId="10" r:id="rId8"/>
    <sheet name="data_checking_notes" sheetId="2" r:id="rId9"/>
  </sheets>
  <definedNames>
    <definedName name="_xlnm._FilterDatabase" localSheetId="6" hidden="1">'sales_performance_dataset '!$A$1:$W$1001</definedName>
  </definedNames>
  <calcPr calcId="0"/>
  <pivotCaches>
    <pivotCache cacheId="17" r:id="rId10"/>
  </pivotCaches>
</workbook>
</file>

<file path=xl/calcChain.xml><?xml version="1.0" encoding="utf-8"?>
<calcChain xmlns="http://schemas.openxmlformats.org/spreadsheetml/2006/main">
  <c r="U3" i="1" l="1"/>
  <c r="V3" i="1"/>
  <c r="W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U26" i="1"/>
  <c r="V26" i="1"/>
  <c r="W26" i="1"/>
  <c r="U27" i="1"/>
  <c r="V27" i="1"/>
  <c r="W27" i="1"/>
  <c r="U28" i="1"/>
  <c r="V28" i="1"/>
  <c r="W28" i="1"/>
  <c r="U29" i="1"/>
  <c r="V29" i="1"/>
  <c r="W29" i="1"/>
  <c r="U30" i="1"/>
  <c r="V30" i="1"/>
  <c r="W30" i="1"/>
  <c r="U31" i="1"/>
  <c r="V31" i="1"/>
  <c r="W31" i="1"/>
  <c r="U32" i="1"/>
  <c r="V32" i="1"/>
  <c r="W32" i="1"/>
  <c r="U33" i="1"/>
  <c r="V33" i="1"/>
  <c r="W33" i="1"/>
  <c r="U34" i="1"/>
  <c r="V34" i="1"/>
  <c r="W34" i="1"/>
  <c r="U35" i="1"/>
  <c r="V35" i="1"/>
  <c r="W35" i="1"/>
  <c r="U36" i="1"/>
  <c r="V36" i="1"/>
  <c r="W36" i="1"/>
  <c r="U37" i="1"/>
  <c r="V37" i="1"/>
  <c r="W37" i="1"/>
  <c r="U38" i="1"/>
  <c r="V38" i="1"/>
  <c r="W38" i="1"/>
  <c r="U39" i="1"/>
  <c r="V39" i="1"/>
  <c r="W39" i="1"/>
  <c r="U40" i="1"/>
  <c r="V40" i="1"/>
  <c r="W40" i="1"/>
  <c r="U41" i="1"/>
  <c r="V41" i="1"/>
  <c r="W41" i="1"/>
  <c r="U42" i="1"/>
  <c r="V42" i="1"/>
  <c r="W42" i="1"/>
  <c r="U43" i="1"/>
  <c r="V43" i="1"/>
  <c r="W43" i="1"/>
  <c r="U44" i="1"/>
  <c r="V44" i="1"/>
  <c r="W44" i="1"/>
  <c r="U45" i="1"/>
  <c r="V45" i="1"/>
  <c r="W45" i="1"/>
  <c r="U46" i="1"/>
  <c r="V46" i="1"/>
  <c r="W46" i="1"/>
  <c r="U47" i="1"/>
  <c r="V47" i="1"/>
  <c r="W47" i="1"/>
  <c r="U48" i="1"/>
  <c r="V48" i="1"/>
  <c r="W48" i="1"/>
  <c r="U49" i="1"/>
  <c r="V49" i="1"/>
  <c r="W49" i="1"/>
  <c r="U50" i="1"/>
  <c r="V50" i="1"/>
  <c r="W50" i="1"/>
  <c r="U51" i="1"/>
  <c r="V51" i="1"/>
  <c r="W51" i="1"/>
  <c r="U52" i="1"/>
  <c r="V52" i="1"/>
  <c r="W52" i="1"/>
  <c r="U53" i="1"/>
  <c r="V53" i="1"/>
  <c r="W53" i="1"/>
  <c r="U54" i="1"/>
  <c r="V54" i="1"/>
  <c r="W54" i="1"/>
  <c r="U55" i="1"/>
  <c r="V55" i="1"/>
  <c r="W55" i="1"/>
  <c r="U56" i="1"/>
  <c r="V56" i="1"/>
  <c r="W56" i="1"/>
  <c r="U57" i="1"/>
  <c r="V57" i="1"/>
  <c r="W57" i="1"/>
  <c r="U58" i="1"/>
  <c r="V58" i="1"/>
  <c r="W58" i="1"/>
  <c r="U59" i="1"/>
  <c r="V59" i="1"/>
  <c r="W59" i="1"/>
  <c r="U60" i="1"/>
  <c r="V60" i="1"/>
  <c r="W60" i="1"/>
  <c r="U61" i="1"/>
  <c r="V61" i="1"/>
  <c r="W61" i="1"/>
  <c r="U62" i="1"/>
  <c r="V62" i="1"/>
  <c r="W62" i="1"/>
  <c r="U63" i="1"/>
  <c r="V63" i="1"/>
  <c r="W63" i="1"/>
  <c r="U64" i="1"/>
  <c r="V64" i="1"/>
  <c r="W64" i="1"/>
  <c r="U65" i="1"/>
  <c r="V65" i="1"/>
  <c r="W65" i="1"/>
  <c r="U66" i="1"/>
  <c r="V66" i="1"/>
  <c r="W66" i="1"/>
  <c r="U67" i="1"/>
  <c r="V67" i="1"/>
  <c r="W67" i="1"/>
  <c r="U68" i="1"/>
  <c r="V68" i="1"/>
  <c r="W68" i="1"/>
  <c r="U69" i="1"/>
  <c r="V69" i="1"/>
  <c r="W69" i="1"/>
  <c r="U70" i="1"/>
  <c r="V70" i="1"/>
  <c r="W70" i="1"/>
  <c r="U71" i="1"/>
  <c r="V71" i="1"/>
  <c r="W71" i="1"/>
  <c r="U72" i="1"/>
  <c r="V72" i="1"/>
  <c r="W72" i="1"/>
  <c r="U73" i="1"/>
  <c r="V73" i="1"/>
  <c r="W73" i="1"/>
  <c r="U74" i="1"/>
  <c r="V74" i="1"/>
  <c r="W74" i="1"/>
  <c r="U75" i="1"/>
  <c r="V75" i="1"/>
  <c r="W75" i="1"/>
  <c r="U76" i="1"/>
  <c r="V76" i="1"/>
  <c r="W76" i="1"/>
  <c r="U77" i="1"/>
  <c r="V77" i="1"/>
  <c r="W77" i="1"/>
  <c r="U78" i="1"/>
  <c r="V78" i="1"/>
  <c r="W78" i="1"/>
  <c r="U79" i="1"/>
  <c r="V79" i="1"/>
  <c r="W79" i="1"/>
  <c r="U80" i="1"/>
  <c r="V80" i="1"/>
  <c r="W80" i="1"/>
  <c r="U81" i="1"/>
  <c r="V81" i="1"/>
  <c r="W81" i="1"/>
  <c r="U82" i="1"/>
  <c r="V82" i="1"/>
  <c r="W82" i="1"/>
  <c r="U83" i="1"/>
  <c r="V83" i="1"/>
  <c r="W83" i="1"/>
  <c r="U84" i="1"/>
  <c r="V84" i="1"/>
  <c r="W84" i="1"/>
  <c r="U85" i="1"/>
  <c r="V85" i="1"/>
  <c r="W85" i="1"/>
  <c r="U86" i="1"/>
  <c r="V86" i="1"/>
  <c r="W86" i="1"/>
  <c r="U87" i="1"/>
  <c r="V87" i="1"/>
  <c r="W87" i="1"/>
  <c r="U88" i="1"/>
  <c r="V88" i="1"/>
  <c r="W88" i="1"/>
  <c r="U89" i="1"/>
  <c r="V89" i="1"/>
  <c r="W89" i="1"/>
  <c r="U90" i="1"/>
  <c r="V90" i="1"/>
  <c r="W90" i="1"/>
  <c r="U91" i="1"/>
  <c r="V91" i="1"/>
  <c r="W91" i="1"/>
  <c r="U92" i="1"/>
  <c r="V92" i="1"/>
  <c r="W92" i="1"/>
  <c r="U93" i="1"/>
  <c r="V93" i="1"/>
  <c r="W93" i="1"/>
  <c r="U94" i="1"/>
  <c r="V94" i="1"/>
  <c r="W94" i="1"/>
  <c r="U95" i="1"/>
  <c r="V95" i="1"/>
  <c r="W95" i="1"/>
  <c r="U96" i="1"/>
  <c r="V96" i="1"/>
  <c r="W96" i="1"/>
  <c r="U97" i="1"/>
  <c r="V97" i="1"/>
  <c r="W97" i="1"/>
  <c r="U98" i="1"/>
  <c r="V98" i="1"/>
  <c r="W98" i="1"/>
  <c r="U99" i="1"/>
  <c r="V99" i="1"/>
  <c r="W99" i="1"/>
  <c r="U100" i="1"/>
  <c r="V100" i="1"/>
  <c r="W100" i="1"/>
  <c r="U101" i="1"/>
  <c r="V101" i="1"/>
  <c r="W101" i="1"/>
  <c r="U102" i="1"/>
  <c r="V102" i="1"/>
  <c r="W102" i="1"/>
  <c r="U103" i="1"/>
  <c r="V103" i="1"/>
  <c r="W103" i="1"/>
  <c r="U104" i="1"/>
  <c r="V104" i="1"/>
  <c r="W104" i="1"/>
  <c r="U105" i="1"/>
  <c r="V105" i="1"/>
  <c r="W105" i="1"/>
  <c r="U106" i="1"/>
  <c r="V106" i="1"/>
  <c r="W106" i="1"/>
  <c r="U107" i="1"/>
  <c r="V107" i="1"/>
  <c r="W107" i="1"/>
  <c r="U108" i="1"/>
  <c r="V108" i="1"/>
  <c r="W108" i="1"/>
  <c r="U109" i="1"/>
  <c r="V109" i="1"/>
  <c r="W109" i="1"/>
  <c r="U110" i="1"/>
  <c r="V110" i="1"/>
  <c r="W110" i="1"/>
  <c r="U111" i="1"/>
  <c r="V111" i="1"/>
  <c r="W111" i="1"/>
  <c r="U112" i="1"/>
  <c r="V112" i="1"/>
  <c r="W112" i="1"/>
  <c r="U113" i="1"/>
  <c r="V113" i="1"/>
  <c r="W113" i="1"/>
  <c r="U114" i="1"/>
  <c r="V114" i="1"/>
  <c r="W114" i="1"/>
  <c r="U115" i="1"/>
  <c r="V115" i="1"/>
  <c r="W115" i="1"/>
  <c r="U116" i="1"/>
  <c r="V116" i="1"/>
  <c r="W116" i="1"/>
  <c r="U117" i="1"/>
  <c r="V117" i="1"/>
  <c r="W117" i="1"/>
  <c r="U118" i="1"/>
  <c r="V118" i="1"/>
  <c r="W118" i="1"/>
  <c r="U119" i="1"/>
  <c r="V119" i="1"/>
  <c r="W119" i="1"/>
  <c r="U120" i="1"/>
  <c r="V120" i="1"/>
  <c r="W120" i="1"/>
  <c r="U121" i="1"/>
  <c r="V121" i="1"/>
  <c r="W121" i="1"/>
  <c r="U122" i="1"/>
  <c r="V122" i="1"/>
  <c r="W122" i="1"/>
  <c r="U123" i="1"/>
  <c r="V123" i="1"/>
  <c r="W123" i="1"/>
  <c r="U124" i="1"/>
  <c r="V124" i="1"/>
  <c r="W124" i="1"/>
  <c r="U125" i="1"/>
  <c r="V125" i="1"/>
  <c r="W125" i="1"/>
  <c r="U126" i="1"/>
  <c r="V126" i="1"/>
  <c r="W126" i="1"/>
  <c r="U127" i="1"/>
  <c r="V127" i="1"/>
  <c r="W127" i="1"/>
  <c r="U128" i="1"/>
  <c r="V128" i="1"/>
  <c r="W128" i="1"/>
  <c r="U129" i="1"/>
  <c r="V129" i="1"/>
  <c r="W129" i="1"/>
  <c r="U130" i="1"/>
  <c r="V130" i="1"/>
  <c r="W130" i="1"/>
  <c r="U131" i="1"/>
  <c r="V131" i="1"/>
  <c r="W131" i="1"/>
  <c r="U132" i="1"/>
  <c r="V132" i="1"/>
  <c r="W132" i="1"/>
  <c r="U133" i="1"/>
  <c r="V133" i="1"/>
  <c r="W133" i="1"/>
  <c r="U134" i="1"/>
  <c r="V134" i="1"/>
  <c r="W134" i="1"/>
  <c r="U135" i="1"/>
  <c r="V135" i="1"/>
  <c r="W135" i="1"/>
  <c r="U136" i="1"/>
  <c r="V136" i="1"/>
  <c r="W136" i="1"/>
  <c r="U137" i="1"/>
  <c r="V137" i="1"/>
  <c r="W137" i="1"/>
  <c r="U138" i="1"/>
  <c r="V138" i="1"/>
  <c r="W138" i="1"/>
  <c r="U139" i="1"/>
  <c r="V139" i="1"/>
  <c r="W139" i="1"/>
  <c r="U140" i="1"/>
  <c r="V140" i="1"/>
  <c r="W140" i="1"/>
  <c r="U141" i="1"/>
  <c r="V141" i="1"/>
  <c r="W141" i="1"/>
  <c r="U142" i="1"/>
  <c r="V142" i="1"/>
  <c r="W142" i="1"/>
  <c r="U143" i="1"/>
  <c r="V143" i="1"/>
  <c r="W143" i="1"/>
  <c r="U144" i="1"/>
  <c r="V144" i="1"/>
  <c r="W144" i="1"/>
  <c r="U145" i="1"/>
  <c r="V145" i="1"/>
  <c r="W145" i="1"/>
  <c r="U146" i="1"/>
  <c r="V146" i="1"/>
  <c r="W146" i="1"/>
  <c r="U147" i="1"/>
  <c r="V147" i="1"/>
  <c r="W147" i="1"/>
  <c r="U148" i="1"/>
  <c r="V148" i="1"/>
  <c r="W148" i="1"/>
  <c r="U149" i="1"/>
  <c r="V149" i="1"/>
  <c r="W149" i="1"/>
  <c r="U150" i="1"/>
  <c r="V150" i="1"/>
  <c r="W150" i="1"/>
  <c r="U151" i="1"/>
  <c r="V151" i="1"/>
  <c r="W151" i="1"/>
  <c r="U152" i="1"/>
  <c r="V152" i="1"/>
  <c r="W152" i="1"/>
  <c r="U153" i="1"/>
  <c r="V153" i="1"/>
  <c r="W153" i="1"/>
  <c r="U154" i="1"/>
  <c r="V154" i="1"/>
  <c r="W154" i="1"/>
  <c r="U155" i="1"/>
  <c r="V155" i="1"/>
  <c r="W155" i="1"/>
  <c r="U156" i="1"/>
  <c r="V156" i="1"/>
  <c r="W156" i="1"/>
  <c r="U157" i="1"/>
  <c r="V157" i="1"/>
  <c r="W157" i="1"/>
  <c r="U158" i="1"/>
  <c r="V158" i="1"/>
  <c r="W158" i="1"/>
  <c r="U159" i="1"/>
  <c r="V159" i="1"/>
  <c r="W159" i="1"/>
  <c r="U160" i="1"/>
  <c r="V160" i="1"/>
  <c r="W160" i="1"/>
  <c r="U161" i="1"/>
  <c r="V161" i="1"/>
  <c r="W161" i="1"/>
  <c r="U162" i="1"/>
  <c r="V162" i="1"/>
  <c r="W162" i="1"/>
  <c r="U163" i="1"/>
  <c r="V163" i="1"/>
  <c r="W163" i="1"/>
  <c r="U164" i="1"/>
  <c r="V164" i="1"/>
  <c r="W164" i="1"/>
  <c r="U165" i="1"/>
  <c r="V165" i="1"/>
  <c r="W165" i="1"/>
  <c r="U166" i="1"/>
  <c r="V166" i="1"/>
  <c r="W166" i="1"/>
  <c r="U167" i="1"/>
  <c r="V167" i="1"/>
  <c r="W167" i="1"/>
  <c r="U168" i="1"/>
  <c r="V168" i="1"/>
  <c r="W168" i="1"/>
  <c r="U169" i="1"/>
  <c r="V169" i="1"/>
  <c r="W169" i="1"/>
  <c r="U170" i="1"/>
  <c r="V170" i="1"/>
  <c r="W170" i="1"/>
  <c r="U171" i="1"/>
  <c r="V171" i="1"/>
  <c r="W171" i="1"/>
  <c r="U172" i="1"/>
  <c r="V172" i="1"/>
  <c r="W172" i="1"/>
  <c r="U173" i="1"/>
  <c r="V173" i="1"/>
  <c r="W173" i="1"/>
  <c r="U174" i="1"/>
  <c r="V174" i="1"/>
  <c r="W174" i="1"/>
  <c r="U175" i="1"/>
  <c r="V175" i="1"/>
  <c r="W175" i="1"/>
  <c r="U176" i="1"/>
  <c r="V176" i="1"/>
  <c r="W176" i="1"/>
  <c r="U177" i="1"/>
  <c r="V177" i="1"/>
  <c r="W177" i="1"/>
  <c r="U178" i="1"/>
  <c r="V178" i="1"/>
  <c r="W178" i="1"/>
  <c r="U179" i="1"/>
  <c r="V179" i="1"/>
  <c r="W179" i="1"/>
  <c r="U180" i="1"/>
  <c r="V180" i="1"/>
  <c r="W180" i="1"/>
  <c r="U181" i="1"/>
  <c r="V181" i="1"/>
  <c r="W181" i="1"/>
  <c r="U182" i="1"/>
  <c r="V182" i="1"/>
  <c r="W182" i="1"/>
  <c r="U183" i="1"/>
  <c r="V183" i="1"/>
  <c r="W183" i="1"/>
  <c r="U184" i="1"/>
  <c r="V184" i="1"/>
  <c r="W184" i="1"/>
  <c r="U185" i="1"/>
  <c r="V185" i="1"/>
  <c r="W185" i="1"/>
  <c r="U186" i="1"/>
  <c r="V186" i="1"/>
  <c r="W186" i="1"/>
  <c r="U187" i="1"/>
  <c r="V187" i="1"/>
  <c r="W187" i="1"/>
  <c r="U188" i="1"/>
  <c r="V188" i="1"/>
  <c r="W188" i="1"/>
  <c r="U189" i="1"/>
  <c r="V189" i="1"/>
  <c r="W189" i="1"/>
  <c r="U190" i="1"/>
  <c r="V190" i="1"/>
  <c r="W190" i="1"/>
  <c r="U191" i="1"/>
  <c r="V191" i="1"/>
  <c r="W191" i="1"/>
  <c r="U192" i="1"/>
  <c r="V192" i="1"/>
  <c r="W192" i="1"/>
  <c r="U193" i="1"/>
  <c r="V193" i="1"/>
  <c r="W193" i="1"/>
  <c r="U194" i="1"/>
  <c r="V194" i="1"/>
  <c r="W194" i="1"/>
  <c r="U195" i="1"/>
  <c r="V195" i="1"/>
  <c r="W195" i="1"/>
  <c r="U196" i="1"/>
  <c r="V196" i="1"/>
  <c r="W196" i="1"/>
  <c r="U197" i="1"/>
  <c r="V197" i="1"/>
  <c r="W197" i="1"/>
  <c r="U198" i="1"/>
  <c r="V198" i="1"/>
  <c r="W198" i="1"/>
  <c r="U199" i="1"/>
  <c r="V199" i="1"/>
  <c r="W199" i="1"/>
  <c r="U200" i="1"/>
  <c r="V200" i="1"/>
  <c r="W200" i="1"/>
  <c r="U201" i="1"/>
  <c r="V201" i="1"/>
  <c r="W201" i="1"/>
  <c r="U202" i="1"/>
  <c r="V202" i="1"/>
  <c r="W202" i="1"/>
  <c r="U203" i="1"/>
  <c r="V203" i="1"/>
  <c r="W203" i="1"/>
  <c r="U204" i="1"/>
  <c r="V204" i="1"/>
  <c r="W204" i="1"/>
  <c r="U205" i="1"/>
  <c r="V205" i="1"/>
  <c r="W205" i="1"/>
  <c r="U206" i="1"/>
  <c r="V206" i="1"/>
  <c r="W206" i="1"/>
  <c r="U207" i="1"/>
  <c r="V207" i="1"/>
  <c r="W207" i="1"/>
  <c r="U208" i="1"/>
  <c r="V208" i="1"/>
  <c r="W208" i="1"/>
  <c r="U209" i="1"/>
  <c r="V209" i="1"/>
  <c r="W209" i="1"/>
  <c r="U210" i="1"/>
  <c r="V210" i="1"/>
  <c r="W210" i="1"/>
  <c r="U211" i="1"/>
  <c r="V211" i="1"/>
  <c r="W211" i="1"/>
  <c r="U212" i="1"/>
  <c r="V212" i="1"/>
  <c r="W212" i="1"/>
  <c r="U213" i="1"/>
  <c r="V213" i="1"/>
  <c r="W213" i="1"/>
  <c r="U214" i="1"/>
  <c r="V214" i="1"/>
  <c r="W214" i="1"/>
  <c r="U215" i="1"/>
  <c r="V215" i="1"/>
  <c r="W215" i="1"/>
  <c r="U216" i="1"/>
  <c r="V216" i="1"/>
  <c r="W216" i="1"/>
  <c r="U217" i="1"/>
  <c r="V217" i="1"/>
  <c r="W217" i="1"/>
  <c r="U218" i="1"/>
  <c r="V218" i="1"/>
  <c r="W218" i="1"/>
  <c r="U219" i="1"/>
  <c r="V219" i="1"/>
  <c r="W219" i="1"/>
  <c r="U220" i="1"/>
  <c r="V220" i="1"/>
  <c r="W220" i="1"/>
  <c r="U221" i="1"/>
  <c r="V221" i="1"/>
  <c r="W221" i="1"/>
  <c r="U222" i="1"/>
  <c r="V222" i="1"/>
  <c r="W222" i="1"/>
  <c r="U223" i="1"/>
  <c r="V223" i="1"/>
  <c r="W223" i="1"/>
  <c r="U224" i="1"/>
  <c r="V224" i="1"/>
  <c r="W224" i="1"/>
  <c r="U225" i="1"/>
  <c r="V225" i="1"/>
  <c r="W225" i="1"/>
  <c r="U226" i="1"/>
  <c r="V226" i="1"/>
  <c r="W226" i="1"/>
  <c r="U227" i="1"/>
  <c r="V227" i="1"/>
  <c r="W227" i="1"/>
  <c r="U228" i="1"/>
  <c r="V228" i="1"/>
  <c r="W228" i="1"/>
  <c r="U229" i="1"/>
  <c r="V229" i="1"/>
  <c r="W229" i="1"/>
  <c r="U230" i="1"/>
  <c r="V230" i="1"/>
  <c r="W230" i="1"/>
  <c r="U231" i="1"/>
  <c r="V231" i="1"/>
  <c r="W231" i="1"/>
  <c r="U232" i="1"/>
  <c r="V232" i="1"/>
  <c r="W232" i="1"/>
  <c r="U233" i="1"/>
  <c r="V233" i="1"/>
  <c r="W233" i="1"/>
  <c r="U234" i="1"/>
  <c r="V234" i="1"/>
  <c r="W234" i="1"/>
  <c r="U235" i="1"/>
  <c r="V235" i="1"/>
  <c r="W235" i="1"/>
  <c r="U236" i="1"/>
  <c r="V236" i="1"/>
  <c r="W236" i="1"/>
  <c r="U237" i="1"/>
  <c r="V237" i="1"/>
  <c r="W237" i="1"/>
  <c r="U238" i="1"/>
  <c r="V238" i="1"/>
  <c r="W238" i="1"/>
  <c r="U239" i="1"/>
  <c r="V239" i="1"/>
  <c r="W239" i="1"/>
  <c r="U240" i="1"/>
  <c r="V240" i="1"/>
  <c r="W240" i="1"/>
  <c r="U241" i="1"/>
  <c r="V241" i="1"/>
  <c r="W241" i="1"/>
  <c r="U242" i="1"/>
  <c r="V242" i="1"/>
  <c r="W242" i="1"/>
  <c r="U243" i="1"/>
  <c r="V243" i="1"/>
  <c r="W243" i="1"/>
  <c r="U244" i="1"/>
  <c r="V244" i="1"/>
  <c r="W244" i="1"/>
  <c r="U245" i="1"/>
  <c r="V245" i="1"/>
  <c r="W245" i="1"/>
  <c r="U246" i="1"/>
  <c r="V246" i="1"/>
  <c r="W246" i="1"/>
  <c r="U247" i="1"/>
  <c r="V247" i="1"/>
  <c r="W247" i="1"/>
  <c r="U248" i="1"/>
  <c r="V248" i="1"/>
  <c r="W248" i="1"/>
  <c r="U249" i="1"/>
  <c r="V249" i="1"/>
  <c r="W249" i="1"/>
  <c r="U250" i="1"/>
  <c r="V250" i="1"/>
  <c r="W250" i="1"/>
  <c r="U251" i="1"/>
  <c r="V251" i="1"/>
  <c r="W251" i="1"/>
  <c r="U252" i="1"/>
  <c r="V252" i="1"/>
  <c r="W252" i="1"/>
  <c r="U253" i="1"/>
  <c r="V253" i="1"/>
  <c r="W253" i="1"/>
  <c r="U254" i="1"/>
  <c r="V254" i="1"/>
  <c r="W254" i="1"/>
  <c r="U255" i="1"/>
  <c r="V255" i="1"/>
  <c r="W255" i="1"/>
  <c r="U256" i="1"/>
  <c r="V256" i="1"/>
  <c r="W256" i="1"/>
  <c r="U257" i="1"/>
  <c r="V257" i="1"/>
  <c r="W257" i="1"/>
  <c r="U258" i="1"/>
  <c r="V258" i="1"/>
  <c r="W258" i="1"/>
  <c r="U259" i="1"/>
  <c r="V259" i="1"/>
  <c r="W259" i="1"/>
  <c r="U260" i="1"/>
  <c r="V260" i="1"/>
  <c r="W260" i="1"/>
  <c r="U261" i="1"/>
  <c r="V261" i="1"/>
  <c r="W261" i="1"/>
  <c r="U262" i="1"/>
  <c r="V262" i="1"/>
  <c r="W262" i="1"/>
  <c r="U263" i="1"/>
  <c r="V263" i="1"/>
  <c r="W263" i="1"/>
  <c r="U264" i="1"/>
  <c r="V264" i="1"/>
  <c r="W264" i="1"/>
  <c r="U265" i="1"/>
  <c r="V265" i="1"/>
  <c r="W265" i="1"/>
  <c r="U266" i="1"/>
  <c r="V266" i="1"/>
  <c r="W266" i="1"/>
  <c r="U267" i="1"/>
  <c r="V267" i="1"/>
  <c r="W267" i="1"/>
  <c r="U268" i="1"/>
  <c r="V268" i="1"/>
  <c r="W268" i="1"/>
  <c r="U269" i="1"/>
  <c r="V269" i="1"/>
  <c r="W269" i="1"/>
  <c r="U270" i="1"/>
  <c r="V270" i="1"/>
  <c r="W270" i="1"/>
  <c r="U271" i="1"/>
  <c r="V271" i="1"/>
  <c r="W271" i="1"/>
  <c r="U272" i="1"/>
  <c r="V272" i="1"/>
  <c r="W272" i="1"/>
  <c r="U273" i="1"/>
  <c r="V273" i="1"/>
  <c r="W273" i="1"/>
  <c r="U274" i="1"/>
  <c r="V274" i="1"/>
  <c r="W274" i="1"/>
  <c r="U275" i="1"/>
  <c r="V275" i="1"/>
  <c r="W275" i="1"/>
  <c r="U276" i="1"/>
  <c r="V276" i="1"/>
  <c r="W276" i="1"/>
  <c r="U277" i="1"/>
  <c r="V277" i="1"/>
  <c r="W277" i="1"/>
  <c r="U278" i="1"/>
  <c r="V278" i="1"/>
  <c r="W278" i="1"/>
  <c r="U279" i="1"/>
  <c r="V279" i="1"/>
  <c r="W279" i="1"/>
  <c r="U280" i="1"/>
  <c r="V280" i="1"/>
  <c r="W280" i="1"/>
  <c r="U281" i="1"/>
  <c r="V281" i="1"/>
  <c r="W281" i="1"/>
  <c r="U282" i="1"/>
  <c r="V282" i="1"/>
  <c r="W282" i="1"/>
  <c r="U283" i="1"/>
  <c r="V283" i="1"/>
  <c r="W283" i="1"/>
  <c r="U284" i="1"/>
  <c r="V284" i="1"/>
  <c r="W284" i="1"/>
  <c r="U285" i="1"/>
  <c r="V285" i="1"/>
  <c r="W285" i="1"/>
  <c r="U286" i="1"/>
  <c r="V286" i="1"/>
  <c r="W286" i="1"/>
  <c r="U287" i="1"/>
  <c r="V287" i="1"/>
  <c r="W287" i="1"/>
  <c r="U288" i="1"/>
  <c r="V288" i="1"/>
  <c r="W288" i="1"/>
  <c r="U289" i="1"/>
  <c r="V289" i="1"/>
  <c r="W289" i="1"/>
  <c r="U290" i="1"/>
  <c r="V290" i="1"/>
  <c r="W290" i="1"/>
  <c r="U291" i="1"/>
  <c r="V291" i="1"/>
  <c r="W291" i="1"/>
  <c r="U292" i="1"/>
  <c r="V292" i="1"/>
  <c r="W292" i="1"/>
  <c r="U293" i="1"/>
  <c r="V293" i="1"/>
  <c r="W293" i="1"/>
  <c r="U294" i="1"/>
  <c r="V294" i="1"/>
  <c r="W294" i="1"/>
  <c r="U295" i="1"/>
  <c r="V295" i="1"/>
  <c r="W295" i="1"/>
  <c r="U296" i="1"/>
  <c r="V296" i="1"/>
  <c r="W296" i="1"/>
  <c r="U297" i="1"/>
  <c r="V297" i="1"/>
  <c r="W297" i="1"/>
  <c r="U298" i="1"/>
  <c r="V298" i="1"/>
  <c r="W298" i="1"/>
  <c r="U299" i="1"/>
  <c r="V299" i="1"/>
  <c r="W299" i="1"/>
  <c r="U300" i="1"/>
  <c r="V300" i="1"/>
  <c r="W300" i="1"/>
  <c r="U301" i="1"/>
  <c r="V301" i="1"/>
  <c r="W301" i="1"/>
  <c r="U302" i="1"/>
  <c r="V302" i="1"/>
  <c r="W302" i="1"/>
  <c r="U303" i="1"/>
  <c r="V303" i="1"/>
  <c r="W303" i="1"/>
  <c r="U304" i="1"/>
  <c r="V304" i="1"/>
  <c r="W304" i="1"/>
  <c r="U305" i="1"/>
  <c r="V305" i="1"/>
  <c r="W305" i="1"/>
  <c r="U306" i="1"/>
  <c r="V306" i="1"/>
  <c r="W306" i="1"/>
  <c r="U307" i="1"/>
  <c r="V307" i="1"/>
  <c r="W307" i="1"/>
  <c r="U308" i="1"/>
  <c r="V308" i="1"/>
  <c r="W308" i="1"/>
  <c r="U309" i="1"/>
  <c r="V309" i="1"/>
  <c r="W309" i="1"/>
  <c r="U310" i="1"/>
  <c r="V310" i="1"/>
  <c r="W310" i="1"/>
  <c r="U311" i="1"/>
  <c r="V311" i="1"/>
  <c r="W311" i="1"/>
  <c r="U312" i="1"/>
  <c r="V312" i="1"/>
  <c r="W312" i="1"/>
  <c r="U313" i="1"/>
  <c r="V313" i="1"/>
  <c r="W313" i="1"/>
  <c r="U314" i="1"/>
  <c r="V314" i="1"/>
  <c r="W314" i="1"/>
  <c r="U315" i="1"/>
  <c r="V315" i="1"/>
  <c r="W315" i="1"/>
  <c r="U316" i="1"/>
  <c r="V316" i="1"/>
  <c r="W316" i="1"/>
  <c r="U317" i="1"/>
  <c r="V317" i="1"/>
  <c r="W317" i="1"/>
  <c r="U318" i="1"/>
  <c r="V318" i="1"/>
  <c r="W318" i="1"/>
  <c r="U319" i="1"/>
  <c r="V319" i="1"/>
  <c r="W319" i="1"/>
  <c r="U320" i="1"/>
  <c r="V320" i="1"/>
  <c r="W320" i="1"/>
  <c r="U321" i="1"/>
  <c r="V321" i="1"/>
  <c r="W321" i="1"/>
  <c r="U322" i="1"/>
  <c r="V322" i="1"/>
  <c r="W322" i="1"/>
  <c r="U323" i="1"/>
  <c r="V323" i="1"/>
  <c r="W323" i="1"/>
  <c r="U324" i="1"/>
  <c r="V324" i="1"/>
  <c r="W324" i="1"/>
  <c r="U325" i="1"/>
  <c r="V325" i="1"/>
  <c r="W325" i="1"/>
  <c r="U326" i="1"/>
  <c r="V326" i="1"/>
  <c r="W326" i="1"/>
  <c r="U327" i="1"/>
  <c r="V327" i="1"/>
  <c r="W327" i="1"/>
  <c r="U328" i="1"/>
  <c r="V328" i="1"/>
  <c r="W328" i="1"/>
  <c r="U329" i="1"/>
  <c r="V329" i="1"/>
  <c r="W329" i="1"/>
  <c r="U330" i="1"/>
  <c r="V330" i="1"/>
  <c r="W330" i="1"/>
  <c r="U331" i="1"/>
  <c r="V331" i="1"/>
  <c r="W331" i="1"/>
  <c r="U332" i="1"/>
  <c r="V332" i="1"/>
  <c r="W332" i="1"/>
  <c r="U333" i="1"/>
  <c r="V333" i="1"/>
  <c r="W333" i="1"/>
  <c r="U334" i="1"/>
  <c r="V334" i="1"/>
  <c r="W334" i="1"/>
  <c r="U335" i="1"/>
  <c r="V335" i="1"/>
  <c r="W335" i="1"/>
  <c r="U336" i="1"/>
  <c r="V336" i="1"/>
  <c r="W336" i="1"/>
  <c r="U337" i="1"/>
  <c r="V337" i="1"/>
  <c r="W337" i="1"/>
  <c r="U338" i="1"/>
  <c r="V338" i="1"/>
  <c r="W338" i="1"/>
  <c r="U339" i="1"/>
  <c r="V339" i="1"/>
  <c r="W339" i="1"/>
  <c r="U340" i="1"/>
  <c r="V340" i="1"/>
  <c r="W340" i="1"/>
  <c r="U341" i="1"/>
  <c r="V341" i="1"/>
  <c r="W341" i="1"/>
  <c r="U342" i="1"/>
  <c r="V342" i="1"/>
  <c r="W342" i="1"/>
  <c r="U343" i="1"/>
  <c r="V343" i="1"/>
  <c r="W343" i="1"/>
  <c r="U344" i="1"/>
  <c r="V344" i="1"/>
  <c r="W344" i="1"/>
  <c r="U345" i="1"/>
  <c r="V345" i="1"/>
  <c r="W345" i="1"/>
  <c r="U346" i="1"/>
  <c r="V346" i="1"/>
  <c r="W346" i="1"/>
  <c r="U347" i="1"/>
  <c r="V347" i="1"/>
  <c r="W347" i="1"/>
  <c r="U348" i="1"/>
  <c r="V348" i="1"/>
  <c r="W348" i="1"/>
  <c r="U349" i="1"/>
  <c r="V349" i="1"/>
  <c r="W349" i="1"/>
  <c r="U350" i="1"/>
  <c r="V350" i="1"/>
  <c r="W350" i="1"/>
  <c r="U351" i="1"/>
  <c r="V351" i="1"/>
  <c r="W351" i="1"/>
  <c r="U352" i="1"/>
  <c r="V352" i="1"/>
  <c r="W352" i="1"/>
  <c r="U353" i="1"/>
  <c r="V353" i="1"/>
  <c r="W353" i="1"/>
  <c r="U354" i="1"/>
  <c r="V354" i="1"/>
  <c r="W354" i="1"/>
  <c r="U355" i="1"/>
  <c r="V355" i="1"/>
  <c r="W355" i="1"/>
  <c r="U356" i="1"/>
  <c r="V356" i="1"/>
  <c r="W356" i="1"/>
  <c r="U357" i="1"/>
  <c r="V357" i="1"/>
  <c r="W357" i="1"/>
  <c r="U358" i="1"/>
  <c r="V358" i="1"/>
  <c r="W358" i="1"/>
  <c r="U359" i="1"/>
  <c r="V359" i="1"/>
  <c r="W359" i="1"/>
  <c r="U360" i="1"/>
  <c r="V360" i="1"/>
  <c r="W360" i="1"/>
  <c r="U361" i="1"/>
  <c r="V361" i="1"/>
  <c r="W361" i="1"/>
  <c r="U362" i="1"/>
  <c r="V362" i="1"/>
  <c r="W362" i="1"/>
  <c r="U363" i="1"/>
  <c r="V363" i="1"/>
  <c r="W363" i="1"/>
  <c r="U364" i="1"/>
  <c r="V364" i="1"/>
  <c r="W364" i="1"/>
  <c r="U365" i="1"/>
  <c r="V365" i="1"/>
  <c r="W365" i="1"/>
  <c r="U366" i="1"/>
  <c r="V366" i="1"/>
  <c r="W366" i="1"/>
  <c r="U367" i="1"/>
  <c r="V367" i="1"/>
  <c r="W367" i="1"/>
  <c r="U368" i="1"/>
  <c r="V368" i="1"/>
  <c r="W368" i="1"/>
  <c r="U369" i="1"/>
  <c r="V369" i="1"/>
  <c r="W369" i="1"/>
  <c r="U370" i="1"/>
  <c r="V370" i="1"/>
  <c r="W370" i="1"/>
  <c r="U371" i="1"/>
  <c r="V371" i="1"/>
  <c r="W371" i="1"/>
  <c r="U372" i="1"/>
  <c r="V372" i="1"/>
  <c r="W372" i="1"/>
  <c r="U373" i="1"/>
  <c r="V373" i="1"/>
  <c r="W373" i="1"/>
  <c r="U374" i="1"/>
  <c r="V374" i="1"/>
  <c r="W374" i="1"/>
  <c r="U375" i="1"/>
  <c r="V375" i="1"/>
  <c r="W375" i="1"/>
  <c r="U376" i="1"/>
  <c r="V376" i="1"/>
  <c r="W376" i="1"/>
  <c r="U377" i="1"/>
  <c r="V377" i="1"/>
  <c r="W377" i="1"/>
  <c r="U378" i="1"/>
  <c r="V378" i="1"/>
  <c r="W378" i="1"/>
  <c r="U379" i="1"/>
  <c r="V379" i="1"/>
  <c r="W379" i="1"/>
  <c r="U380" i="1"/>
  <c r="V380" i="1"/>
  <c r="W380" i="1"/>
  <c r="U381" i="1"/>
  <c r="V381" i="1"/>
  <c r="W381" i="1"/>
  <c r="U382" i="1"/>
  <c r="V382" i="1"/>
  <c r="W382" i="1"/>
  <c r="U383" i="1"/>
  <c r="V383" i="1"/>
  <c r="W383" i="1"/>
  <c r="U384" i="1"/>
  <c r="V384" i="1"/>
  <c r="W384" i="1"/>
  <c r="U385" i="1"/>
  <c r="V385" i="1"/>
  <c r="W385" i="1"/>
  <c r="U386" i="1"/>
  <c r="V386" i="1"/>
  <c r="W386" i="1"/>
  <c r="U387" i="1"/>
  <c r="V387" i="1"/>
  <c r="W387" i="1"/>
  <c r="U388" i="1"/>
  <c r="V388" i="1"/>
  <c r="W388" i="1"/>
  <c r="U389" i="1"/>
  <c r="V389" i="1"/>
  <c r="W389" i="1"/>
  <c r="U390" i="1"/>
  <c r="V390" i="1"/>
  <c r="W390" i="1"/>
  <c r="U391" i="1"/>
  <c r="V391" i="1"/>
  <c r="W391" i="1"/>
  <c r="U392" i="1"/>
  <c r="V392" i="1"/>
  <c r="W392" i="1"/>
  <c r="U393" i="1"/>
  <c r="V393" i="1"/>
  <c r="W393" i="1"/>
  <c r="U394" i="1"/>
  <c r="V394" i="1"/>
  <c r="W394" i="1"/>
  <c r="U395" i="1"/>
  <c r="V395" i="1"/>
  <c r="W395" i="1"/>
  <c r="U396" i="1"/>
  <c r="V396" i="1"/>
  <c r="W396" i="1"/>
  <c r="U397" i="1"/>
  <c r="V397" i="1"/>
  <c r="W397" i="1"/>
  <c r="U398" i="1"/>
  <c r="V398" i="1"/>
  <c r="W398" i="1"/>
  <c r="U399" i="1"/>
  <c r="V399" i="1"/>
  <c r="W399" i="1"/>
  <c r="U400" i="1"/>
  <c r="V400" i="1"/>
  <c r="W400" i="1"/>
  <c r="U401" i="1"/>
  <c r="V401" i="1"/>
  <c r="W401" i="1"/>
  <c r="U402" i="1"/>
  <c r="V402" i="1"/>
  <c r="W402" i="1"/>
  <c r="U403" i="1"/>
  <c r="V403" i="1"/>
  <c r="W403" i="1"/>
  <c r="U404" i="1"/>
  <c r="V404" i="1"/>
  <c r="W404" i="1"/>
  <c r="U405" i="1"/>
  <c r="V405" i="1"/>
  <c r="W405" i="1"/>
  <c r="U406" i="1"/>
  <c r="V406" i="1"/>
  <c r="W406" i="1"/>
  <c r="U407" i="1"/>
  <c r="V407" i="1"/>
  <c r="W407" i="1"/>
  <c r="U408" i="1"/>
  <c r="V408" i="1"/>
  <c r="W408" i="1"/>
  <c r="U409" i="1"/>
  <c r="V409" i="1"/>
  <c r="W409" i="1"/>
  <c r="U410" i="1"/>
  <c r="V410" i="1"/>
  <c r="W410" i="1"/>
  <c r="U411" i="1"/>
  <c r="V411" i="1"/>
  <c r="W411" i="1"/>
  <c r="U412" i="1"/>
  <c r="V412" i="1"/>
  <c r="W412" i="1"/>
  <c r="U413" i="1"/>
  <c r="V413" i="1"/>
  <c r="W413" i="1"/>
  <c r="U414" i="1"/>
  <c r="V414" i="1"/>
  <c r="W414" i="1"/>
  <c r="U415" i="1"/>
  <c r="V415" i="1"/>
  <c r="W415" i="1"/>
  <c r="U416" i="1"/>
  <c r="V416" i="1"/>
  <c r="W416" i="1"/>
  <c r="U417" i="1"/>
  <c r="V417" i="1"/>
  <c r="W417" i="1"/>
  <c r="U418" i="1"/>
  <c r="V418" i="1"/>
  <c r="W418" i="1"/>
  <c r="U419" i="1"/>
  <c r="V419" i="1"/>
  <c r="W419" i="1"/>
  <c r="U420" i="1"/>
  <c r="V420" i="1"/>
  <c r="W420" i="1"/>
  <c r="U421" i="1"/>
  <c r="V421" i="1"/>
  <c r="W421" i="1"/>
  <c r="U422" i="1"/>
  <c r="V422" i="1"/>
  <c r="W422" i="1"/>
  <c r="U423" i="1"/>
  <c r="V423" i="1"/>
  <c r="W423" i="1"/>
  <c r="U424" i="1"/>
  <c r="V424" i="1"/>
  <c r="W424" i="1"/>
  <c r="U425" i="1"/>
  <c r="V425" i="1"/>
  <c r="W425" i="1"/>
  <c r="U426" i="1"/>
  <c r="V426" i="1"/>
  <c r="W426" i="1"/>
  <c r="U427" i="1"/>
  <c r="V427" i="1"/>
  <c r="W427" i="1"/>
  <c r="U428" i="1"/>
  <c r="V428" i="1"/>
  <c r="W428" i="1"/>
  <c r="U429" i="1"/>
  <c r="V429" i="1"/>
  <c r="W429" i="1"/>
  <c r="U430" i="1"/>
  <c r="V430" i="1"/>
  <c r="W430" i="1"/>
  <c r="U431" i="1"/>
  <c r="V431" i="1"/>
  <c r="W431" i="1"/>
  <c r="U432" i="1"/>
  <c r="V432" i="1"/>
  <c r="W432" i="1"/>
  <c r="U433" i="1"/>
  <c r="V433" i="1"/>
  <c r="W433" i="1"/>
  <c r="U434" i="1"/>
  <c r="V434" i="1"/>
  <c r="W434" i="1"/>
  <c r="U435" i="1"/>
  <c r="V435" i="1"/>
  <c r="W435" i="1"/>
  <c r="U436" i="1"/>
  <c r="V436" i="1"/>
  <c r="W436" i="1"/>
  <c r="U437" i="1"/>
  <c r="V437" i="1"/>
  <c r="W437" i="1"/>
  <c r="U438" i="1"/>
  <c r="V438" i="1"/>
  <c r="W438" i="1"/>
  <c r="U439" i="1"/>
  <c r="V439" i="1"/>
  <c r="W439" i="1"/>
  <c r="U440" i="1"/>
  <c r="V440" i="1"/>
  <c r="W440" i="1"/>
  <c r="U441" i="1"/>
  <c r="V441" i="1"/>
  <c r="W441" i="1"/>
  <c r="U442" i="1"/>
  <c r="V442" i="1"/>
  <c r="W442" i="1"/>
  <c r="U443" i="1"/>
  <c r="V443" i="1"/>
  <c r="W443" i="1"/>
  <c r="U444" i="1"/>
  <c r="V444" i="1"/>
  <c r="W444" i="1"/>
  <c r="U445" i="1"/>
  <c r="V445" i="1"/>
  <c r="W445" i="1"/>
  <c r="U446" i="1"/>
  <c r="V446" i="1"/>
  <c r="W446" i="1"/>
  <c r="U447" i="1"/>
  <c r="V447" i="1"/>
  <c r="W447" i="1"/>
  <c r="U448" i="1"/>
  <c r="V448" i="1"/>
  <c r="W448" i="1"/>
  <c r="U449" i="1"/>
  <c r="V449" i="1"/>
  <c r="W449" i="1"/>
  <c r="U450" i="1"/>
  <c r="V450" i="1"/>
  <c r="W450" i="1"/>
  <c r="U451" i="1"/>
  <c r="V451" i="1"/>
  <c r="W451" i="1"/>
  <c r="U452" i="1"/>
  <c r="V452" i="1"/>
  <c r="W452" i="1"/>
  <c r="U453" i="1"/>
  <c r="V453" i="1"/>
  <c r="W453" i="1"/>
  <c r="U454" i="1"/>
  <c r="V454" i="1"/>
  <c r="W454" i="1"/>
  <c r="U455" i="1"/>
  <c r="V455" i="1"/>
  <c r="W455" i="1"/>
  <c r="U456" i="1"/>
  <c r="V456" i="1"/>
  <c r="W456" i="1"/>
  <c r="U457" i="1"/>
  <c r="V457" i="1"/>
  <c r="W457" i="1"/>
  <c r="U458" i="1"/>
  <c r="V458" i="1"/>
  <c r="W458" i="1"/>
  <c r="U459" i="1"/>
  <c r="V459" i="1"/>
  <c r="W459" i="1"/>
  <c r="U460" i="1"/>
  <c r="V460" i="1"/>
  <c r="W460" i="1"/>
  <c r="U461" i="1"/>
  <c r="V461" i="1"/>
  <c r="W461" i="1"/>
  <c r="U462" i="1"/>
  <c r="V462" i="1"/>
  <c r="W462" i="1"/>
  <c r="U463" i="1"/>
  <c r="V463" i="1"/>
  <c r="W463" i="1"/>
  <c r="U464" i="1"/>
  <c r="V464" i="1"/>
  <c r="W464" i="1"/>
  <c r="U465" i="1"/>
  <c r="V465" i="1"/>
  <c r="W465" i="1"/>
  <c r="U466" i="1"/>
  <c r="V466" i="1"/>
  <c r="W466" i="1"/>
  <c r="U467" i="1"/>
  <c r="V467" i="1"/>
  <c r="W467" i="1"/>
  <c r="U468" i="1"/>
  <c r="V468" i="1"/>
  <c r="W468" i="1"/>
  <c r="U469" i="1"/>
  <c r="V469" i="1"/>
  <c r="W469" i="1"/>
  <c r="U470" i="1"/>
  <c r="V470" i="1"/>
  <c r="W470" i="1"/>
  <c r="U471" i="1"/>
  <c r="V471" i="1"/>
  <c r="W471" i="1"/>
  <c r="U472" i="1"/>
  <c r="V472" i="1"/>
  <c r="W472" i="1"/>
  <c r="U473" i="1"/>
  <c r="V473" i="1"/>
  <c r="W473" i="1"/>
  <c r="U474" i="1"/>
  <c r="V474" i="1"/>
  <c r="W474" i="1"/>
  <c r="U475" i="1"/>
  <c r="V475" i="1"/>
  <c r="W475" i="1"/>
  <c r="U476" i="1"/>
  <c r="V476" i="1"/>
  <c r="W476" i="1"/>
  <c r="U477" i="1"/>
  <c r="V477" i="1"/>
  <c r="W477" i="1"/>
  <c r="U478" i="1"/>
  <c r="V478" i="1"/>
  <c r="W478" i="1"/>
  <c r="U479" i="1"/>
  <c r="V479" i="1"/>
  <c r="W479" i="1"/>
  <c r="U480" i="1"/>
  <c r="V480" i="1"/>
  <c r="W480" i="1"/>
  <c r="U481" i="1"/>
  <c r="V481" i="1"/>
  <c r="W481" i="1"/>
  <c r="U482" i="1"/>
  <c r="V482" i="1"/>
  <c r="W482" i="1"/>
  <c r="U483" i="1"/>
  <c r="V483" i="1"/>
  <c r="W483" i="1"/>
  <c r="U484" i="1"/>
  <c r="V484" i="1"/>
  <c r="W484" i="1"/>
  <c r="U485" i="1"/>
  <c r="V485" i="1"/>
  <c r="W485" i="1"/>
  <c r="U486" i="1"/>
  <c r="V486" i="1"/>
  <c r="W486" i="1"/>
  <c r="U487" i="1"/>
  <c r="V487" i="1"/>
  <c r="W487" i="1"/>
  <c r="U488" i="1"/>
  <c r="V488" i="1"/>
  <c r="W488" i="1"/>
  <c r="U489" i="1"/>
  <c r="V489" i="1"/>
  <c r="W489" i="1"/>
  <c r="U490" i="1"/>
  <c r="V490" i="1"/>
  <c r="W490" i="1"/>
  <c r="U491" i="1"/>
  <c r="V491" i="1"/>
  <c r="W491" i="1"/>
  <c r="U492" i="1"/>
  <c r="V492" i="1"/>
  <c r="W492" i="1"/>
  <c r="U493" i="1"/>
  <c r="V493" i="1"/>
  <c r="W493" i="1"/>
  <c r="U494" i="1"/>
  <c r="V494" i="1"/>
  <c r="W494" i="1"/>
  <c r="U495" i="1"/>
  <c r="V495" i="1"/>
  <c r="W495" i="1"/>
  <c r="U496" i="1"/>
  <c r="V496" i="1"/>
  <c r="W496" i="1"/>
  <c r="U497" i="1"/>
  <c r="V497" i="1"/>
  <c r="W497" i="1"/>
  <c r="U498" i="1"/>
  <c r="V498" i="1"/>
  <c r="W498" i="1"/>
  <c r="U499" i="1"/>
  <c r="V499" i="1"/>
  <c r="W499" i="1"/>
  <c r="U500" i="1"/>
  <c r="V500" i="1"/>
  <c r="W500" i="1"/>
  <c r="U501" i="1"/>
  <c r="V501" i="1"/>
  <c r="W501" i="1"/>
  <c r="U502" i="1"/>
  <c r="V502" i="1"/>
  <c r="W502" i="1"/>
  <c r="U503" i="1"/>
  <c r="V503" i="1"/>
  <c r="W503" i="1"/>
  <c r="U504" i="1"/>
  <c r="V504" i="1"/>
  <c r="W504" i="1"/>
  <c r="U505" i="1"/>
  <c r="V505" i="1"/>
  <c r="W505" i="1"/>
  <c r="U506" i="1"/>
  <c r="V506" i="1"/>
  <c r="W506" i="1"/>
  <c r="U507" i="1"/>
  <c r="V507" i="1"/>
  <c r="W507" i="1"/>
  <c r="U508" i="1"/>
  <c r="V508" i="1"/>
  <c r="W508" i="1"/>
  <c r="U509" i="1"/>
  <c r="V509" i="1"/>
  <c r="W509" i="1"/>
  <c r="U510" i="1"/>
  <c r="V510" i="1"/>
  <c r="W510" i="1"/>
  <c r="U511" i="1"/>
  <c r="V511" i="1"/>
  <c r="W511" i="1"/>
  <c r="U512" i="1"/>
  <c r="V512" i="1"/>
  <c r="W512" i="1"/>
  <c r="U513" i="1"/>
  <c r="V513" i="1"/>
  <c r="W513" i="1"/>
  <c r="U514" i="1"/>
  <c r="V514" i="1"/>
  <c r="W514" i="1"/>
  <c r="U515" i="1"/>
  <c r="V515" i="1"/>
  <c r="W515" i="1"/>
  <c r="U516" i="1"/>
  <c r="V516" i="1"/>
  <c r="W516" i="1"/>
  <c r="U517" i="1"/>
  <c r="V517" i="1"/>
  <c r="W517" i="1"/>
  <c r="U518" i="1"/>
  <c r="V518" i="1"/>
  <c r="W518" i="1"/>
  <c r="U519" i="1"/>
  <c r="V519" i="1"/>
  <c r="W519" i="1"/>
  <c r="U520" i="1"/>
  <c r="V520" i="1"/>
  <c r="W520" i="1"/>
  <c r="U521" i="1"/>
  <c r="V521" i="1"/>
  <c r="W521" i="1"/>
  <c r="U522" i="1"/>
  <c r="V522" i="1"/>
  <c r="W522" i="1"/>
  <c r="U523" i="1"/>
  <c r="V523" i="1"/>
  <c r="W523" i="1"/>
  <c r="U524" i="1"/>
  <c r="V524" i="1"/>
  <c r="W524" i="1"/>
  <c r="U525" i="1"/>
  <c r="V525" i="1"/>
  <c r="W525" i="1"/>
  <c r="U526" i="1"/>
  <c r="V526" i="1"/>
  <c r="W526" i="1"/>
  <c r="U527" i="1"/>
  <c r="V527" i="1"/>
  <c r="W527" i="1"/>
  <c r="U528" i="1"/>
  <c r="V528" i="1"/>
  <c r="W528" i="1"/>
  <c r="U529" i="1"/>
  <c r="V529" i="1"/>
  <c r="W529" i="1"/>
  <c r="U530" i="1"/>
  <c r="V530" i="1"/>
  <c r="W530" i="1"/>
  <c r="U531" i="1"/>
  <c r="V531" i="1"/>
  <c r="W531" i="1"/>
  <c r="U532" i="1"/>
  <c r="V532" i="1"/>
  <c r="W532" i="1"/>
  <c r="U533" i="1"/>
  <c r="V533" i="1"/>
  <c r="W533" i="1"/>
  <c r="U534" i="1"/>
  <c r="V534" i="1"/>
  <c r="W534" i="1"/>
  <c r="U535" i="1"/>
  <c r="V535" i="1"/>
  <c r="W535" i="1"/>
  <c r="U536" i="1"/>
  <c r="V536" i="1"/>
  <c r="W536" i="1"/>
  <c r="U537" i="1"/>
  <c r="V537" i="1"/>
  <c r="W537" i="1"/>
  <c r="U538" i="1"/>
  <c r="V538" i="1"/>
  <c r="W538" i="1"/>
  <c r="U539" i="1"/>
  <c r="V539" i="1"/>
  <c r="W539" i="1"/>
  <c r="U540" i="1"/>
  <c r="V540" i="1"/>
  <c r="W540" i="1"/>
  <c r="U541" i="1"/>
  <c r="V541" i="1"/>
  <c r="W541" i="1"/>
  <c r="U542" i="1"/>
  <c r="V542" i="1"/>
  <c r="W542" i="1"/>
  <c r="U543" i="1"/>
  <c r="V543" i="1"/>
  <c r="W543" i="1"/>
  <c r="U544" i="1"/>
  <c r="V544" i="1"/>
  <c r="W544" i="1"/>
  <c r="U545" i="1"/>
  <c r="V545" i="1"/>
  <c r="W545" i="1"/>
  <c r="U546" i="1"/>
  <c r="V546" i="1"/>
  <c r="W546" i="1"/>
  <c r="U547" i="1"/>
  <c r="V547" i="1"/>
  <c r="W547" i="1"/>
  <c r="U548" i="1"/>
  <c r="V548" i="1"/>
  <c r="W548" i="1"/>
  <c r="U549" i="1"/>
  <c r="V549" i="1"/>
  <c r="W549" i="1"/>
  <c r="U550" i="1"/>
  <c r="V550" i="1"/>
  <c r="W550" i="1"/>
  <c r="U551" i="1"/>
  <c r="V551" i="1"/>
  <c r="W551" i="1"/>
  <c r="U552" i="1"/>
  <c r="V552" i="1"/>
  <c r="W552" i="1"/>
  <c r="U553" i="1"/>
  <c r="V553" i="1"/>
  <c r="W553" i="1"/>
  <c r="U554" i="1"/>
  <c r="V554" i="1"/>
  <c r="W554" i="1"/>
  <c r="U555" i="1"/>
  <c r="V555" i="1"/>
  <c r="W555" i="1"/>
  <c r="U556" i="1"/>
  <c r="V556" i="1"/>
  <c r="W556" i="1"/>
  <c r="U557" i="1"/>
  <c r="V557" i="1"/>
  <c r="W557" i="1"/>
  <c r="U558" i="1"/>
  <c r="V558" i="1"/>
  <c r="W558" i="1"/>
  <c r="U559" i="1"/>
  <c r="V559" i="1"/>
  <c r="W559" i="1"/>
  <c r="U560" i="1"/>
  <c r="V560" i="1"/>
  <c r="W560" i="1"/>
  <c r="U561" i="1"/>
  <c r="V561" i="1"/>
  <c r="W561" i="1"/>
  <c r="U562" i="1"/>
  <c r="V562" i="1"/>
  <c r="W562" i="1"/>
  <c r="U563" i="1"/>
  <c r="V563" i="1"/>
  <c r="W563" i="1"/>
  <c r="U564" i="1"/>
  <c r="V564" i="1"/>
  <c r="W564" i="1"/>
  <c r="U565" i="1"/>
  <c r="V565" i="1"/>
  <c r="W565" i="1"/>
  <c r="U566" i="1"/>
  <c r="V566" i="1"/>
  <c r="W566" i="1"/>
  <c r="U567" i="1"/>
  <c r="V567" i="1"/>
  <c r="W567" i="1"/>
  <c r="U568" i="1"/>
  <c r="V568" i="1"/>
  <c r="W568" i="1"/>
  <c r="U569" i="1"/>
  <c r="V569" i="1"/>
  <c r="W569" i="1"/>
  <c r="U570" i="1"/>
  <c r="V570" i="1"/>
  <c r="W570" i="1"/>
  <c r="U571" i="1"/>
  <c r="V571" i="1"/>
  <c r="W571" i="1"/>
  <c r="U572" i="1"/>
  <c r="V572" i="1"/>
  <c r="W572" i="1"/>
  <c r="U573" i="1"/>
  <c r="V573" i="1"/>
  <c r="W573" i="1"/>
  <c r="U574" i="1"/>
  <c r="V574" i="1"/>
  <c r="W574" i="1"/>
  <c r="U575" i="1"/>
  <c r="V575" i="1"/>
  <c r="W575" i="1"/>
  <c r="U576" i="1"/>
  <c r="V576" i="1"/>
  <c r="W576" i="1"/>
  <c r="U577" i="1"/>
  <c r="V577" i="1"/>
  <c r="W577" i="1"/>
  <c r="U578" i="1"/>
  <c r="V578" i="1"/>
  <c r="W578" i="1"/>
  <c r="U579" i="1"/>
  <c r="V579" i="1"/>
  <c r="W579" i="1"/>
  <c r="U580" i="1"/>
  <c r="V580" i="1"/>
  <c r="W580" i="1"/>
  <c r="U581" i="1"/>
  <c r="V581" i="1"/>
  <c r="W581" i="1"/>
  <c r="U582" i="1"/>
  <c r="V582" i="1"/>
  <c r="W582" i="1"/>
  <c r="U583" i="1"/>
  <c r="V583" i="1"/>
  <c r="W583" i="1"/>
  <c r="U584" i="1"/>
  <c r="V584" i="1"/>
  <c r="W584" i="1"/>
  <c r="U585" i="1"/>
  <c r="V585" i="1"/>
  <c r="W585" i="1"/>
  <c r="U586" i="1"/>
  <c r="V586" i="1"/>
  <c r="W586" i="1"/>
  <c r="U587" i="1"/>
  <c r="V587" i="1"/>
  <c r="W587" i="1"/>
  <c r="U588" i="1"/>
  <c r="V588" i="1"/>
  <c r="W588" i="1"/>
  <c r="U589" i="1"/>
  <c r="V589" i="1"/>
  <c r="W589" i="1"/>
  <c r="U590" i="1"/>
  <c r="V590" i="1"/>
  <c r="W590" i="1"/>
  <c r="U591" i="1"/>
  <c r="V591" i="1"/>
  <c r="W591" i="1"/>
  <c r="U592" i="1"/>
  <c r="V592" i="1"/>
  <c r="W592" i="1"/>
  <c r="U593" i="1"/>
  <c r="V593" i="1"/>
  <c r="W593" i="1"/>
  <c r="U594" i="1"/>
  <c r="V594" i="1"/>
  <c r="W594" i="1"/>
  <c r="U595" i="1"/>
  <c r="V595" i="1"/>
  <c r="W595" i="1"/>
  <c r="U596" i="1"/>
  <c r="V596" i="1"/>
  <c r="W596" i="1"/>
  <c r="U597" i="1"/>
  <c r="V597" i="1"/>
  <c r="W597" i="1"/>
  <c r="U598" i="1"/>
  <c r="V598" i="1"/>
  <c r="W598" i="1"/>
  <c r="U599" i="1"/>
  <c r="V599" i="1"/>
  <c r="W599" i="1"/>
  <c r="U600" i="1"/>
  <c r="V600" i="1"/>
  <c r="W600" i="1"/>
  <c r="U601" i="1"/>
  <c r="V601" i="1"/>
  <c r="W601" i="1"/>
  <c r="U602" i="1"/>
  <c r="V602" i="1"/>
  <c r="W602" i="1"/>
  <c r="U603" i="1"/>
  <c r="V603" i="1"/>
  <c r="W603" i="1"/>
  <c r="U604" i="1"/>
  <c r="V604" i="1"/>
  <c r="W604" i="1"/>
  <c r="U605" i="1"/>
  <c r="V605" i="1"/>
  <c r="W605" i="1"/>
  <c r="U606" i="1"/>
  <c r="V606" i="1"/>
  <c r="W606" i="1"/>
  <c r="U607" i="1"/>
  <c r="V607" i="1"/>
  <c r="W607" i="1"/>
  <c r="U608" i="1"/>
  <c r="V608" i="1"/>
  <c r="W608" i="1"/>
  <c r="U609" i="1"/>
  <c r="V609" i="1"/>
  <c r="W609" i="1"/>
  <c r="U610" i="1"/>
  <c r="V610" i="1"/>
  <c r="W610" i="1"/>
  <c r="U611" i="1"/>
  <c r="V611" i="1"/>
  <c r="W611" i="1"/>
  <c r="U612" i="1"/>
  <c r="V612" i="1"/>
  <c r="W612" i="1"/>
  <c r="U613" i="1"/>
  <c r="V613" i="1"/>
  <c r="W613" i="1"/>
  <c r="U614" i="1"/>
  <c r="V614" i="1"/>
  <c r="W614" i="1"/>
  <c r="U615" i="1"/>
  <c r="V615" i="1"/>
  <c r="W615" i="1"/>
  <c r="U616" i="1"/>
  <c r="V616" i="1"/>
  <c r="W616" i="1"/>
  <c r="U617" i="1"/>
  <c r="V617" i="1"/>
  <c r="W617" i="1"/>
  <c r="U618" i="1"/>
  <c r="V618" i="1"/>
  <c r="W618" i="1"/>
  <c r="U619" i="1"/>
  <c r="V619" i="1"/>
  <c r="W619" i="1"/>
  <c r="U620" i="1"/>
  <c r="V620" i="1"/>
  <c r="W620" i="1"/>
  <c r="U621" i="1"/>
  <c r="V621" i="1"/>
  <c r="W621" i="1"/>
  <c r="U622" i="1"/>
  <c r="V622" i="1"/>
  <c r="W622" i="1"/>
  <c r="U623" i="1"/>
  <c r="V623" i="1"/>
  <c r="W623" i="1"/>
  <c r="U624" i="1"/>
  <c r="V624" i="1"/>
  <c r="W624" i="1"/>
  <c r="U625" i="1"/>
  <c r="V625" i="1"/>
  <c r="W625" i="1"/>
  <c r="U626" i="1"/>
  <c r="V626" i="1"/>
  <c r="W626" i="1"/>
  <c r="U627" i="1"/>
  <c r="V627" i="1"/>
  <c r="W627" i="1"/>
  <c r="U628" i="1"/>
  <c r="V628" i="1"/>
  <c r="W628" i="1"/>
  <c r="U629" i="1"/>
  <c r="V629" i="1"/>
  <c r="W629" i="1"/>
  <c r="U630" i="1"/>
  <c r="V630" i="1"/>
  <c r="W630" i="1"/>
  <c r="U631" i="1"/>
  <c r="V631" i="1"/>
  <c r="W631" i="1"/>
  <c r="U632" i="1"/>
  <c r="V632" i="1"/>
  <c r="W632" i="1"/>
  <c r="U633" i="1"/>
  <c r="V633" i="1"/>
  <c r="W633" i="1"/>
  <c r="U634" i="1"/>
  <c r="V634" i="1"/>
  <c r="W634" i="1"/>
  <c r="U635" i="1"/>
  <c r="V635" i="1"/>
  <c r="W635" i="1"/>
  <c r="U636" i="1"/>
  <c r="V636" i="1"/>
  <c r="W636" i="1"/>
  <c r="U637" i="1"/>
  <c r="V637" i="1"/>
  <c r="W637" i="1"/>
  <c r="U638" i="1"/>
  <c r="V638" i="1"/>
  <c r="W638" i="1"/>
  <c r="U639" i="1"/>
  <c r="V639" i="1"/>
  <c r="W639" i="1"/>
  <c r="U640" i="1"/>
  <c r="V640" i="1"/>
  <c r="W640" i="1"/>
  <c r="U641" i="1"/>
  <c r="V641" i="1"/>
  <c r="W641" i="1"/>
  <c r="U642" i="1"/>
  <c r="V642" i="1"/>
  <c r="W642" i="1"/>
  <c r="U643" i="1"/>
  <c r="V643" i="1"/>
  <c r="W643" i="1"/>
  <c r="U644" i="1"/>
  <c r="V644" i="1"/>
  <c r="W644" i="1"/>
  <c r="U645" i="1"/>
  <c r="V645" i="1"/>
  <c r="W645" i="1"/>
  <c r="U646" i="1"/>
  <c r="V646" i="1"/>
  <c r="W646" i="1"/>
  <c r="U647" i="1"/>
  <c r="V647" i="1"/>
  <c r="W647" i="1"/>
  <c r="U648" i="1"/>
  <c r="V648" i="1"/>
  <c r="W648" i="1"/>
  <c r="U649" i="1"/>
  <c r="V649" i="1"/>
  <c r="W649" i="1"/>
  <c r="U650" i="1"/>
  <c r="V650" i="1"/>
  <c r="W650" i="1"/>
  <c r="U651" i="1"/>
  <c r="V651" i="1"/>
  <c r="W651" i="1"/>
  <c r="U652" i="1"/>
  <c r="V652" i="1"/>
  <c r="W652" i="1"/>
  <c r="U653" i="1"/>
  <c r="V653" i="1"/>
  <c r="W653" i="1"/>
  <c r="U654" i="1"/>
  <c r="V654" i="1"/>
  <c r="W654" i="1"/>
  <c r="U655" i="1"/>
  <c r="V655" i="1"/>
  <c r="W655" i="1"/>
  <c r="U656" i="1"/>
  <c r="V656" i="1"/>
  <c r="W656" i="1"/>
  <c r="U657" i="1"/>
  <c r="V657" i="1"/>
  <c r="W657" i="1"/>
  <c r="U658" i="1"/>
  <c r="V658" i="1"/>
  <c r="W658" i="1"/>
  <c r="U659" i="1"/>
  <c r="V659" i="1"/>
  <c r="W659" i="1"/>
  <c r="U660" i="1"/>
  <c r="V660" i="1"/>
  <c r="W660" i="1"/>
  <c r="U661" i="1"/>
  <c r="V661" i="1"/>
  <c r="W661" i="1"/>
  <c r="U662" i="1"/>
  <c r="V662" i="1"/>
  <c r="W662" i="1"/>
  <c r="U663" i="1"/>
  <c r="V663" i="1"/>
  <c r="W663" i="1"/>
  <c r="U664" i="1"/>
  <c r="V664" i="1"/>
  <c r="W664" i="1"/>
  <c r="U665" i="1"/>
  <c r="V665" i="1"/>
  <c r="W665" i="1"/>
  <c r="U666" i="1"/>
  <c r="V666" i="1"/>
  <c r="W666" i="1"/>
  <c r="U667" i="1"/>
  <c r="V667" i="1"/>
  <c r="W667" i="1"/>
  <c r="U668" i="1"/>
  <c r="V668" i="1"/>
  <c r="W668" i="1"/>
  <c r="U669" i="1"/>
  <c r="V669" i="1"/>
  <c r="W669" i="1"/>
  <c r="U670" i="1"/>
  <c r="V670" i="1"/>
  <c r="W670" i="1"/>
  <c r="U671" i="1"/>
  <c r="V671" i="1"/>
  <c r="W671" i="1"/>
  <c r="U672" i="1"/>
  <c r="V672" i="1"/>
  <c r="W672" i="1"/>
  <c r="U673" i="1"/>
  <c r="V673" i="1"/>
  <c r="W673" i="1"/>
  <c r="U674" i="1"/>
  <c r="V674" i="1"/>
  <c r="W674" i="1"/>
  <c r="U675" i="1"/>
  <c r="V675" i="1"/>
  <c r="W675" i="1"/>
  <c r="U676" i="1"/>
  <c r="V676" i="1"/>
  <c r="W676" i="1"/>
  <c r="U677" i="1"/>
  <c r="V677" i="1"/>
  <c r="W677" i="1"/>
  <c r="U678" i="1"/>
  <c r="V678" i="1"/>
  <c r="W678" i="1"/>
  <c r="U679" i="1"/>
  <c r="V679" i="1"/>
  <c r="W679" i="1"/>
  <c r="U680" i="1"/>
  <c r="V680" i="1"/>
  <c r="W680" i="1"/>
  <c r="U681" i="1"/>
  <c r="V681" i="1"/>
  <c r="W681" i="1"/>
  <c r="U682" i="1"/>
  <c r="V682" i="1"/>
  <c r="W682" i="1"/>
  <c r="U683" i="1"/>
  <c r="V683" i="1"/>
  <c r="W683" i="1"/>
  <c r="U684" i="1"/>
  <c r="V684" i="1"/>
  <c r="W684" i="1"/>
  <c r="U685" i="1"/>
  <c r="V685" i="1"/>
  <c r="W685" i="1"/>
  <c r="U686" i="1"/>
  <c r="V686" i="1"/>
  <c r="W686" i="1"/>
  <c r="U687" i="1"/>
  <c r="V687" i="1"/>
  <c r="W687" i="1"/>
  <c r="U688" i="1"/>
  <c r="V688" i="1"/>
  <c r="W688" i="1"/>
  <c r="U689" i="1"/>
  <c r="V689" i="1"/>
  <c r="W689" i="1"/>
  <c r="U690" i="1"/>
  <c r="V690" i="1"/>
  <c r="W690" i="1"/>
  <c r="U691" i="1"/>
  <c r="V691" i="1"/>
  <c r="W691" i="1"/>
  <c r="U692" i="1"/>
  <c r="V692" i="1"/>
  <c r="W692" i="1"/>
  <c r="U693" i="1"/>
  <c r="V693" i="1"/>
  <c r="W693" i="1"/>
  <c r="U694" i="1"/>
  <c r="V694" i="1"/>
  <c r="W694" i="1"/>
  <c r="U695" i="1"/>
  <c r="V695" i="1"/>
  <c r="W695" i="1"/>
  <c r="U696" i="1"/>
  <c r="V696" i="1"/>
  <c r="W696" i="1"/>
  <c r="U697" i="1"/>
  <c r="V697" i="1"/>
  <c r="W697" i="1"/>
  <c r="U698" i="1"/>
  <c r="V698" i="1"/>
  <c r="W698" i="1"/>
  <c r="U699" i="1"/>
  <c r="V699" i="1"/>
  <c r="W699" i="1"/>
  <c r="U700" i="1"/>
  <c r="V700" i="1"/>
  <c r="W700" i="1"/>
  <c r="U701" i="1"/>
  <c r="V701" i="1"/>
  <c r="W701" i="1"/>
  <c r="U702" i="1"/>
  <c r="V702" i="1"/>
  <c r="W702" i="1"/>
  <c r="U703" i="1"/>
  <c r="V703" i="1"/>
  <c r="W703" i="1"/>
  <c r="U704" i="1"/>
  <c r="V704" i="1"/>
  <c r="W704" i="1"/>
  <c r="U705" i="1"/>
  <c r="V705" i="1"/>
  <c r="W705" i="1"/>
  <c r="U706" i="1"/>
  <c r="V706" i="1"/>
  <c r="W706" i="1"/>
  <c r="U707" i="1"/>
  <c r="V707" i="1"/>
  <c r="W707" i="1"/>
  <c r="U708" i="1"/>
  <c r="V708" i="1"/>
  <c r="W708" i="1"/>
  <c r="U709" i="1"/>
  <c r="V709" i="1"/>
  <c r="W709" i="1"/>
  <c r="U710" i="1"/>
  <c r="V710" i="1"/>
  <c r="W710" i="1"/>
  <c r="U711" i="1"/>
  <c r="V711" i="1"/>
  <c r="W711" i="1"/>
  <c r="U712" i="1"/>
  <c r="V712" i="1"/>
  <c r="W712" i="1"/>
  <c r="U713" i="1"/>
  <c r="V713" i="1"/>
  <c r="W713" i="1"/>
  <c r="U714" i="1"/>
  <c r="V714" i="1"/>
  <c r="W714" i="1"/>
  <c r="U715" i="1"/>
  <c r="V715" i="1"/>
  <c r="W715" i="1"/>
  <c r="U716" i="1"/>
  <c r="V716" i="1"/>
  <c r="W716" i="1"/>
  <c r="U717" i="1"/>
  <c r="V717" i="1"/>
  <c r="W717" i="1"/>
  <c r="U718" i="1"/>
  <c r="V718" i="1"/>
  <c r="W718" i="1"/>
  <c r="U719" i="1"/>
  <c r="V719" i="1"/>
  <c r="W719" i="1"/>
  <c r="U720" i="1"/>
  <c r="V720" i="1"/>
  <c r="W720" i="1"/>
  <c r="U721" i="1"/>
  <c r="V721" i="1"/>
  <c r="W721" i="1"/>
  <c r="U722" i="1"/>
  <c r="V722" i="1"/>
  <c r="W722" i="1"/>
  <c r="U723" i="1"/>
  <c r="V723" i="1"/>
  <c r="W723" i="1"/>
  <c r="U724" i="1"/>
  <c r="V724" i="1"/>
  <c r="W724" i="1"/>
  <c r="U725" i="1"/>
  <c r="V725" i="1"/>
  <c r="W725" i="1"/>
  <c r="U726" i="1"/>
  <c r="V726" i="1"/>
  <c r="W726" i="1"/>
  <c r="U727" i="1"/>
  <c r="V727" i="1"/>
  <c r="W727" i="1"/>
  <c r="U728" i="1"/>
  <c r="V728" i="1"/>
  <c r="W728" i="1"/>
  <c r="U729" i="1"/>
  <c r="V729" i="1"/>
  <c r="W729" i="1"/>
  <c r="U730" i="1"/>
  <c r="V730" i="1"/>
  <c r="W730" i="1"/>
  <c r="U731" i="1"/>
  <c r="V731" i="1"/>
  <c r="W731" i="1"/>
  <c r="U732" i="1"/>
  <c r="V732" i="1"/>
  <c r="W732" i="1"/>
  <c r="U733" i="1"/>
  <c r="V733" i="1"/>
  <c r="W733" i="1"/>
  <c r="U734" i="1"/>
  <c r="V734" i="1"/>
  <c r="W734" i="1"/>
  <c r="U735" i="1"/>
  <c r="V735" i="1"/>
  <c r="W735" i="1"/>
  <c r="U736" i="1"/>
  <c r="V736" i="1"/>
  <c r="W736" i="1"/>
  <c r="U737" i="1"/>
  <c r="V737" i="1"/>
  <c r="W737" i="1"/>
  <c r="U738" i="1"/>
  <c r="V738" i="1"/>
  <c r="W738" i="1"/>
  <c r="U739" i="1"/>
  <c r="V739" i="1"/>
  <c r="W739" i="1"/>
  <c r="U740" i="1"/>
  <c r="V740" i="1"/>
  <c r="W740" i="1"/>
  <c r="U741" i="1"/>
  <c r="V741" i="1"/>
  <c r="W741" i="1"/>
  <c r="U742" i="1"/>
  <c r="V742" i="1"/>
  <c r="W742" i="1"/>
  <c r="U743" i="1"/>
  <c r="V743" i="1"/>
  <c r="W743" i="1"/>
  <c r="U744" i="1"/>
  <c r="V744" i="1"/>
  <c r="W744" i="1"/>
  <c r="U745" i="1"/>
  <c r="V745" i="1"/>
  <c r="W745" i="1"/>
  <c r="U746" i="1"/>
  <c r="V746" i="1"/>
  <c r="W746" i="1"/>
  <c r="U747" i="1"/>
  <c r="V747" i="1"/>
  <c r="W747" i="1"/>
  <c r="U748" i="1"/>
  <c r="V748" i="1"/>
  <c r="W748" i="1"/>
  <c r="U749" i="1"/>
  <c r="V749" i="1"/>
  <c r="W749" i="1"/>
  <c r="U750" i="1"/>
  <c r="V750" i="1"/>
  <c r="W750" i="1"/>
  <c r="U751" i="1"/>
  <c r="V751" i="1"/>
  <c r="W751" i="1"/>
  <c r="U752" i="1"/>
  <c r="V752" i="1"/>
  <c r="W752" i="1"/>
  <c r="U753" i="1"/>
  <c r="V753" i="1"/>
  <c r="W753" i="1"/>
  <c r="U754" i="1"/>
  <c r="V754" i="1"/>
  <c r="W754" i="1"/>
  <c r="U755" i="1"/>
  <c r="V755" i="1"/>
  <c r="W755" i="1"/>
  <c r="U756" i="1"/>
  <c r="V756" i="1"/>
  <c r="W756" i="1"/>
  <c r="U757" i="1"/>
  <c r="V757" i="1"/>
  <c r="W757" i="1"/>
  <c r="U758" i="1"/>
  <c r="V758" i="1"/>
  <c r="W758" i="1"/>
  <c r="U759" i="1"/>
  <c r="V759" i="1"/>
  <c r="W759" i="1"/>
  <c r="U760" i="1"/>
  <c r="V760" i="1"/>
  <c r="W760" i="1"/>
  <c r="U761" i="1"/>
  <c r="V761" i="1"/>
  <c r="W761" i="1"/>
  <c r="U762" i="1"/>
  <c r="V762" i="1"/>
  <c r="W762" i="1"/>
  <c r="U763" i="1"/>
  <c r="V763" i="1"/>
  <c r="W763" i="1"/>
  <c r="U764" i="1"/>
  <c r="V764" i="1"/>
  <c r="W764" i="1"/>
  <c r="U765" i="1"/>
  <c r="V765" i="1"/>
  <c r="W765" i="1"/>
  <c r="U766" i="1"/>
  <c r="V766" i="1"/>
  <c r="W766" i="1"/>
  <c r="U767" i="1"/>
  <c r="V767" i="1"/>
  <c r="W767" i="1"/>
  <c r="U768" i="1"/>
  <c r="V768" i="1"/>
  <c r="W768" i="1"/>
  <c r="U769" i="1"/>
  <c r="V769" i="1"/>
  <c r="W769" i="1"/>
  <c r="U770" i="1"/>
  <c r="V770" i="1"/>
  <c r="W770" i="1"/>
  <c r="U771" i="1"/>
  <c r="V771" i="1"/>
  <c r="W771" i="1"/>
  <c r="U772" i="1"/>
  <c r="V772" i="1"/>
  <c r="W772" i="1"/>
  <c r="U773" i="1"/>
  <c r="V773" i="1"/>
  <c r="W773" i="1"/>
  <c r="U774" i="1"/>
  <c r="V774" i="1"/>
  <c r="W774" i="1"/>
  <c r="U775" i="1"/>
  <c r="V775" i="1"/>
  <c r="W775" i="1"/>
  <c r="U776" i="1"/>
  <c r="V776" i="1"/>
  <c r="W776" i="1"/>
  <c r="U777" i="1"/>
  <c r="V777" i="1"/>
  <c r="W777" i="1"/>
  <c r="U778" i="1"/>
  <c r="V778" i="1"/>
  <c r="W778" i="1"/>
  <c r="U779" i="1"/>
  <c r="V779" i="1"/>
  <c r="W779" i="1"/>
  <c r="U780" i="1"/>
  <c r="V780" i="1"/>
  <c r="W780" i="1"/>
  <c r="U781" i="1"/>
  <c r="V781" i="1"/>
  <c r="W781" i="1"/>
  <c r="U782" i="1"/>
  <c r="V782" i="1"/>
  <c r="W782" i="1"/>
  <c r="U783" i="1"/>
  <c r="V783" i="1"/>
  <c r="W783" i="1"/>
  <c r="U784" i="1"/>
  <c r="V784" i="1"/>
  <c r="W784" i="1"/>
  <c r="U785" i="1"/>
  <c r="V785" i="1"/>
  <c r="W785" i="1"/>
  <c r="U786" i="1"/>
  <c r="V786" i="1"/>
  <c r="W786" i="1"/>
  <c r="U787" i="1"/>
  <c r="V787" i="1"/>
  <c r="W787" i="1"/>
  <c r="U788" i="1"/>
  <c r="V788" i="1"/>
  <c r="W788" i="1"/>
  <c r="U789" i="1"/>
  <c r="V789" i="1"/>
  <c r="W789" i="1"/>
  <c r="U790" i="1"/>
  <c r="V790" i="1"/>
  <c r="W790" i="1"/>
  <c r="U791" i="1"/>
  <c r="V791" i="1"/>
  <c r="W791" i="1"/>
  <c r="U792" i="1"/>
  <c r="V792" i="1"/>
  <c r="W792" i="1"/>
  <c r="U793" i="1"/>
  <c r="V793" i="1"/>
  <c r="W793" i="1"/>
  <c r="U794" i="1"/>
  <c r="V794" i="1"/>
  <c r="W794" i="1"/>
  <c r="U795" i="1"/>
  <c r="V795" i="1"/>
  <c r="W795" i="1"/>
  <c r="U796" i="1"/>
  <c r="V796" i="1"/>
  <c r="W796" i="1"/>
  <c r="U797" i="1"/>
  <c r="V797" i="1"/>
  <c r="W797" i="1"/>
  <c r="U798" i="1"/>
  <c r="V798" i="1"/>
  <c r="W798" i="1"/>
  <c r="U799" i="1"/>
  <c r="V799" i="1"/>
  <c r="W799" i="1"/>
  <c r="U800" i="1"/>
  <c r="V800" i="1"/>
  <c r="W800" i="1"/>
  <c r="U801" i="1"/>
  <c r="V801" i="1"/>
  <c r="W801" i="1"/>
  <c r="U802" i="1"/>
  <c r="V802" i="1"/>
  <c r="W802" i="1"/>
  <c r="U803" i="1"/>
  <c r="V803" i="1"/>
  <c r="W803" i="1"/>
  <c r="U804" i="1"/>
  <c r="V804" i="1"/>
  <c r="W804" i="1"/>
  <c r="U805" i="1"/>
  <c r="V805" i="1"/>
  <c r="W805" i="1"/>
  <c r="U806" i="1"/>
  <c r="V806" i="1"/>
  <c r="W806" i="1"/>
  <c r="U807" i="1"/>
  <c r="V807" i="1"/>
  <c r="W807" i="1"/>
  <c r="U808" i="1"/>
  <c r="V808" i="1"/>
  <c r="W808" i="1"/>
  <c r="U809" i="1"/>
  <c r="V809" i="1"/>
  <c r="W809" i="1"/>
  <c r="U810" i="1"/>
  <c r="V810" i="1"/>
  <c r="W810" i="1"/>
  <c r="U811" i="1"/>
  <c r="V811" i="1"/>
  <c r="W811" i="1"/>
  <c r="U812" i="1"/>
  <c r="V812" i="1"/>
  <c r="W812" i="1"/>
  <c r="U813" i="1"/>
  <c r="V813" i="1"/>
  <c r="W813" i="1"/>
  <c r="U814" i="1"/>
  <c r="V814" i="1"/>
  <c r="W814" i="1"/>
  <c r="U815" i="1"/>
  <c r="V815" i="1"/>
  <c r="W815" i="1"/>
  <c r="U816" i="1"/>
  <c r="V816" i="1"/>
  <c r="W816" i="1"/>
  <c r="U817" i="1"/>
  <c r="V817" i="1"/>
  <c r="W817" i="1"/>
  <c r="U818" i="1"/>
  <c r="V818" i="1"/>
  <c r="W818" i="1"/>
  <c r="U819" i="1"/>
  <c r="V819" i="1"/>
  <c r="W819" i="1"/>
  <c r="U820" i="1"/>
  <c r="V820" i="1"/>
  <c r="W820" i="1"/>
  <c r="U821" i="1"/>
  <c r="V821" i="1"/>
  <c r="W821" i="1"/>
  <c r="U822" i="1"/>
  <c r="V822" i="1"/>
  <c r="W822" i="1"/>
  <c r="U823" i="1"/>
  <c r="V823" i="1"/>
  <c r="W823" i="1"/>
  <c r="U824" i="1"/>
  <c r="V824" i="1"/>
  <c r="W824" i="1"/>
  <c r="U825" i="1"/>
  <c r="V825" i="1"/>
  <c r="W825" i="1"/>
  <c r="U826" i="1"/>
  <c r="V826" i="1"/>
  <c r="W826" i="1"/>
  <c r="U827" i="1"/>
  <c r="V827" i="1"/>
  <c r="W827" i="1"/>
  <c r="U828" i="1"/>
  <c r="V828" i="1"/>
  <c r="W828" i="1"/>
  <c r="U829" i="1"/>
  <c r="V829" i="1"/>
  <c r="W829" i="1"/>
  <c r="U830" i="1"/>
  <c r="V830" i="1"/>
  <c r="W830" i="1"/>
  <c r="U831" i="1"/>
  <c r="V831" i="1"/>
  <c r="W831" i="1"/>
  <c r="U832" i="1"/>
  <c r="V832" i="1"/>
  <c r="W832" i="1"/>
  <c r="U833" i="1"/>
  <c r="V833" i="1"/>
  <c r="W833" i="1"/>
  <c r="U834" i="1"/>
  <c r="V834" i="1"/>
  <c r="W834" i="1"/>
  <c r="U835" i="1"/>
  <c r="V835" i="1"/>
  <c r="W835" i="1"/>
  <c r="U836" i="1"/>
  <c r="V836" i="1"/>
  <c r="W836" i="1"/>
  <c r="U837" i="1"/>
  <c r="V837" i="1"/>
  <c r="W837" i="1"/>
  <c r="U838" i="1"/>
  <c r="V838" i="1"/>
  <c r="W838" i="1"/>
  <c r="U839" i="1"/>
  <c r="V839" i="1"/>
  <c r="W839" i="1"/>
  <c r="U840" i="1"/>
  <c r="V840" i="1"/>
  <c r="W840" i="1"/>
  <c r="U841" i="1"/>
  <c r="V841" i="1"/>
  <c r="W841" i="1"/>
  <c r="U842" i="1"/>
  <c r="V842" i="1"/>
  <c r="W842" i="1"/>
  <c r="U843" i="1"/>
  <c r="V843" i="1"/>
  <c r="W843" i="1"/>
  <c r="U844" i="1"/>
  <c r="V844" i="1"/>
  <c r="W844" i="1"/>
  <c r="U845" i="1"/>
  <c r="V845" i="1"/>
  <c r="W845" i="1"/>
  <c r="U846" i="1"/>
  <c r="V846" i="1"/>
  <c r="W846" i="1"/>
  <c r="U847" i="1"/>
  <c r="V847" i="1"/>
  <c r="W847" i="1"/>
  <c r="U848" i="1"/>
  <c r="V848" i="1"/>
  <c r="W848" i="1"/>
  <c r="U849" i="1"/>
  <c r="V849" i="1"/>
  <c r="W849" i="1"/>
  <c r="U850" i="1"/>
  <c r="V850" i="1"/>
  <c r="W850" i="1"/>
  <c r="U851" i="1"/>
  <c r="V851" i="1"/>
  <c r="W851" i="1"/>
  <c r="U852" i="1"/>
  <c r="V852" i="1"/>
  <c r="W852" i="1"/>
  <c r="U853" i="1"/>
  <c r="V853" i="1"/>
  <c r="W853" i="1"/>
  <c r="U854" i="1"/>
  <c r="V854" i="1"/>
  <c r="W854" i="1"/>
  <c r="U855" i="1"/>
  <c r="V855" i="1"/>
  <c r="W855" i="1"/>
  <c r="U856" i="1"/>
  <c r="V856" i="1"/>
  <c r="W856" i="1"/>
  <c r="U857" i="1"/>
  <c r="V857" i="1"/>
  <c r="W857" i="1"/>
  <c r="U858" i="1"/>
  <c r="V858" i="1"/>
  <c r="W858" i="1"/>
  <c r="U859" i="1"/>
  <c r="V859" i="1"/>
  <c r="W859" i="1"/>
  <c r="U860" i="1"/>
  <c r="V860" i="1"/>
  <c r="W860" i="1"/>
  <c r="U861" i="1"/>
  <c r="V861" i="1"/>
  <c r="W861" i="1"/>
  <c r="U862" i="1"/>
  <c r="V862" i="1"/>
  <c r="W862" i="1"/>
  <c r="U863" i="1"/>
  <c r="V863" i="1"/>
  <c r="W863" i="1"/>
  <c r="U864" i="1"/>
  <c r="V864" i="1"/>
  <c r="W864" i="1"/>
  <c r="U865" i="1"/>
  <c r="V865" i="1"/>
  <c r="W865" i="1"/>
  <c r="U866" i="1"/>
  <c r="V866" i="1"/>
  <c r="W866" i="1"/>
  <c r="U867" i="1"/>
  <c r="V867" i="1"/>
  <c r="W867" i="1"/>
  <c r="U868" i="1"/>
  <c r="V868" i="1"/>
  <c r="W868" i="1"/>
  <c r="U869" i="1"/>
  <c r="V869" i="1"/>
  <c r="W869" i="1"/>
  <c r="U870" i="1"/>
  <c r="V870" i="1"/>
  <c r="W870" i="1"/>
  <c r="U871" i="1"/>
  <c r="V871" i="1"/>
  <c r="W871" i="1"/>
  <c r="U872" i="1"/>
  <c r="V872" i="1"/>
  <c r="W872" i="1"/>
  <c r="U873" i="1"/>
  <c r="V873" i="1"/>
  <c r="W873" i="1"/>
  <c r="U874" i="1"/>
  <c r="V874" i="1"/>
  <c r="W874" i="1"/>
  <c r="U875" i="1"/>
  <c r="V875" i="1"/>
  <c r="W875" i="1"/>
  <c r="U876" i="1"/>
  <c r="V876" i="1"/>
  <c r="W876" i="1"/>
  <c r="U877" i="1"/>
  <c r="V877" i="1"/>
  <c r="W877" i="1"/>
  <c r="U878" i="1"/>
  <c r="V878" i="1"/>
  <c r="W878" i="1"/>
  <c r="U879" i="1"/>
  <c r="V879" i="1"/>
  <c r="W879" i="1"/>
  <c r="U880" i="1"/>
  <c r="V880" i="1"/>
  <c r="W880" i="1"/>
  <c r="U881" i="1"/>
  <c r="V881" i="1"/>
  <c r="W881" i="1"/>
  <c r="U882" i="1"/>
  <c r="V882" i="1"/>
  <c r="W882" i="1"/>
  <c r="U883" i="1"/>
  <c r="V883" i="1"/>
  <c r="W883" i="1"/>
  <c r="U884" i="1"/>
  <c r="V884" i="1"/>
  <c r="W884" i="1"/>
  <c r="U885" i="1"/>
  <c r="V885" i="1"/>
  <c r="W885" i="1"/>
  <c r="U886" i="1"/>
  <c r="V886" i="1"/>
  <c r="W886" i="1"/>
  <c r="U887" i="1"/>
  <c r="V887" i="1"/>
  <c r="W887" i="1"/>
  <c r="U888" i="1"/>
  <c r="V888" i="1"/>
  <c r="W888" i="1"/>
  <c r="U889" i="1"/>
  <c r="V889" i="1"/>
  <c r="W889" i="1"/>
  <c r="U890" i="1"/>
  <c r="V890" i="1"/>
  <c r="W890" i="1"/>
  <c r="U891" i="1"/>
  <c r="V891" i="1"/>
  <c r="W891" i="1"/>
  <c r="U892" i="1"/>
  <c r="V892" i="1"/>
  <c r="W892" i="1"/>
  <c r="U893" i="1"/>
  <c r="V893" i="1"/>
  <c r="W893" i="1"/>
  <c r="U894" i="1"/>
  <c r="V894" i="1"/>
  <c r="W894" i="1"/>
  <c r="U895" i="1"/>
  <c r="V895" i="1"/>
  <c r="W895" i="1"/>
  <c r="U896" i="1"/>
  <c r="V896" i="1"/>
  <c r="W896" i="1"/>
  <c r="U897" i="1"/>
  <c r="V897" i="1"/>
  <c r="W897" i="1"/>
  <c r="U898" i="1"/>
  <c r="V898" i="1"/>
  <c r="W898" i="1"/>
  <c r="U899" i="1"/>
  <c r="V899" i="1"/>
  <c r="W899" i="1"/>
  <c r="U900" i="1"/>
  <c r="V900" i="1"/>
  <c r="W900" i="1"/>
  <c r="U901" i="1"/>
  <c r="V901" i="1"/>
  <c r="W901" i="1"/>
  <c r="U902" i="1"/>
  <c r="V902" i="1"/>
  <c r="W902" i="1"/>
  <c r="U903" i="1"/>
  <c r="V903" i="1"/>
  <c r="W903" i="1"/>
  <c r="U904" i="1"/>
  <c r="V904" i="1"/>
  <c r="W904" i="1"/>
  <c r="U905" i="1"/>
  <c r="V905" i="1"/>
  <c r="W905" i="1"/>
  <c r="U906" i="1"/>
  <c r="V906" i="1"/>
  <c r="W906" i="1"/>
  <c r="U907" i="1"/>
  <c r="V907" i="1"/>
  <c r="W907" i="1"/>
  <c r="U908" i="1"/>
  <c r="V908" i="1"/>
  <c r="W908" i="1"/>
  <c r="U909" i="1"/>
  <c r="V909" i="1"/>
  <c r="W909" i="1"/>
  <c r="U910" i="1"/>
  <c r="V910" i="1"/>
  <c r="W910" i="1"/>
  <c r="U911" i="1"/>
  <c r="V911" i="1"/>
  <c r="W911" i="1"/>
  <c r="U912" i="1"/>
  <c r="V912" i="1"/>
  <c r="W912" i="1"/>
  <c r="U913" i="1"/>
  <c r="V913" i="1"/>
  <c r="W913" i="1"/>
  <c r="U914" i="1"/>
  <c r="V914" i="1"/>
  <c r="W914" i="1"/>
  <c r="U915" i="1"/>
  <c r="V915" i="1"/>
  <c r="W915" i="1"/>
  <c r="U916" i="1"/>
  <c r="V916" i="1"/>
  <c r="W916" i="1"/>
  <c r="U917" i="1"/>
  <c r="V917" i="1"/>
  <c r="W917" i="1"/>
  <c r="U918" i="1"/>
  <c r="V918" i="1"/>
  <c r="W918" i="1"/>
  <c r="U919" i="1"/>
  <c r="V919" i="1"/>
  <c r="W919" i="1"/>
  <c r="U920" i="1"/>
  <c r="V920" i="1"/>
  <c r="W920" i="1"/>
  <c r="U921" i="1"/>
  <c r="V921" i="1"/>
  <c r="W921" i="1"/>
  <c r="U922" i="1"/>
  <c r="V922" i="1"/>
  <c r="W922" i="1"/>
  <c r="U923" i="1"/>
  <c r="V923" i="1"/>
  <c r="W923" i="1"/>
  <c r="U924" i="1"/>
  <c r="V924" i="1"/>
  <c r="W924" i="1"/>
  <c r="U925" i="1"/>
  <c r="V925" i="1"/>
  <c r="W925" i="1"/>
  <c r="U926" i="1"/>
  <c r="V926" i="1"/>
  <c r="W926" i="1"/>
  <c r="U927" i="1"/>
  <c r="V927" i="1"/>
  <c r="W927" i="1"/>
  <c r="U928" i="1"/>
  <c r="V928" i="1"/>
  <c r="W928" i="1"/>
  <c r="U929" i="1"/>
  <c r="V929" i="1"/>
  <c r="W929" i="1"/>
  <c r="U930" i="1"/>
  <c r="V930" i="1"/>
  <c r="W930" i="1"/>
  <c r="U931" i="1"/>
  <c r="V931" i="1"/>
  <c r="W931" i="1"/>
  <c r="U932" i="1"/>
  <c r="V932" i="1"/>
  <c r="W932" i="1"/>
  <c r="U933" i="1"/>
  <c r="V933" i="1"/>
  <c r="W933" i="1"/>
  <c r="U934" i="1"/>
  <c r="V934" i="1"/>
  <c r="W934" i="1"/>
  <c r="U935" i="1"/>
  <c r="V935" i="1"/>
  <c r="W935" i="1"/>
  <c r="U936" i="1"/>
  <c r="V936" i="1"/>
  <c r="W936" i="1"/>
  <c r="U937" i="1"/>
  <c r="V937" i="1"/>
  <c r="W937" i="1"/>
  <c r="U938" i="1"/>
  <c r="V938" i="1"/>
  <c r="W938" i="1"/>
  <c r="U939" i="1"/>
  <c r="V939" i="1"/>
  <c r="W939" i="1"/>
  <c r="U940" i="1"/>
  <c r="V940" i="1"/>
  <c r="W940" i="1"/>
  <c r="U941" i="1"/>
  <c r="V941" i="1"/>
  <c r="W941" i="1"/>
  <c r="U942" i="1"/>
  <c r="V942" i="1"/>
  <c r="W942" i="1"/>
  <c r="U943" i="1"/>
  <c r="V943" i="1"/>
  <c r="W943" i="1"/>
  <c r="U944" i="1"/>
  <c r="V944" i="1"/>
  <c r="W944" i="1"/>
  <c r="U945" i="1"/>
  <c r="V945" i="1"/>
  <c r="W945" i="1"/>
  <c r="U946" i="1"/>
  <c r="V946" i="1"/>
  <c r="W946" i="1"/>
  <c r="U947" i="1"/>
  <c r="V947" i="1"/>
  <c r="W947" i="1"/>
  <c r="U948" i="1"/>
  <c r="V948" i="1"/>
  <c r="W948" i="1"/>
  <c r="U949" i="1"/>
  <c r="V949" i="1"/>
  <c r="W949" i="1"/>
  <c r="U950" i="1"/>
  <c r="V950" i="1"/>
  <c r="W950" i="1"/>
  <c r="U951" i="1"/>
  <c r="V951" i="1"/>
  <c r="W951" i="1"/>
  <c r="U952" i="1"/>
  <c r="V952" i="1"/>
  <c r="W952" i="1"/>
  <c r="U953" i="1"/>
  <c r="V953" i="1"/>
  <c r="W953" i="1"/>
  <c r="U954" i="1"/>
  <c r="V954" i="1"/>
  <c r="W954" i="1"/>
  <c r="U955" i="1"/>
  <c r="V955" i="1"/>
  <c r="W955" i="1"/>
  <c r="U956" i="1"/>
  <c r="V956" i="1"/>
  <c r="W956" i="1"/>
  <c r="U957" i="1"/>
  <c r="V957" i="1"/>
  <c r="W957" i="1"/>
  <c r="U958" i="1"/>
  <c r="V958" i="1"/>
  <c r="W958" i="1"/>
  <c r="U959" i="1"/>
  <c r="V959" i="1"/>
  <c r="W959" i="1"/>
  <c r="U960" i="1"/>
  <c r="V960" i="1"/>
  <c r="W960" i="1"/>
  <c r="U961" i="1"/>
  <c r="V961" i="1"/>
  <c r="W961" i="1"/>
  <c r="U962" i="1"/>
  <c r="V962" i="1"/>
  <c r="W962" i="1"/>
  <c r="U963" i="1"/>
  <c r="V963" i="1"/>
  <c r="W963" i="1"/>
  <c r="U964" i="1"/>
  <c r="V964" i="1"/>
  <c r="W964" i="1"/>
  <c r="U965" i="1"/>
  <c r="V965" i="1"/>
  <c r="W965" i="1"/>
  <c r="U966" i="1"/>
  <c r="V966" i="1"/>
  <c r="W966" i="1"/>
  <c r="U967" i="1"/>
  <c r="V967" i="1"/>
  <c r="W967" i="1"/>
  <c r="U968" i="1"/>
  <c r="V968" i="1"/>
  <c r="W968" i="1"/>
  <c r="U969" i="1"/>
  <c r="V969" i="1"/>
  <c r="W969" i="1"/>
  <c r="U970" i="1"/>
  <c r="V970" i="1"/>
  <c r="W970" i="1"/>
  <c r="U971" i="1"/>
  <c r="V971" i="1"/>
  <c r="W971" i="1"/>
  <c r="U972" i="1"/>
  <c r="V972" i="1"/>
  <c r="W972" i="1"/>
  <c r="U973" i="1"/>
  <c r="V973" i="1"/>
  <c r="W973" i="1"/>
  <c r="U974" i="1"/>
  <c r="V974" i="1"/>
  <c r="W974" i="1"/>
  <c r="U975" i="1"/>
  <c r="V975" i="1"/>
  <c r="W975" i="1"/>
  <c r="U976" i="1"/>
  <c r="V976" i="1"/>
  <c r="W976" i="1"/>
  <c r="U977" i="1"/>
  <c r="V977" i="1"/>
  <c r="W977" i="1"/>
  <c r="U978" i="1"/>
  <c r="V978" i="1"/>
  <c r="W978" i="1"/>
  <c r="U979" i="1"/>
  <c r="V979" i="1"/>
  <c r="W979" i="1"/>
  <c r="U980" i="1"/>
  <c r="V980" i="1"/>
  <c r="W980" i="1"/>
  <c r="U981" i="1"/>
  <c r="V981" i="1"/>
  <c r="W981" i="1"/>
  <c r="U982" i="1"/>
  <c r="V982" i="1"/>
  <c r="W982" i="1"/>
  <c r="U983" i="1"/>
  <c r="V983" i="1"/>
  <c r="W983" i="1"/>
  <c r="U984" i="1"/>
  <c r="V984" i="1"/>
  <c r="W984" i="1"/>
  <c r="U985" i="1"/>
  <c r="V985" i="1"/>
  <c r="W985" i="1"/>
  <c r="U986" i="1"/>
  <c r="V986" i="1"/>
  <c r="W986" i="1"/>
  <c r="U987" i="1"/>
  <c r="V987" i="1"/>
  <c r="W987" i="1"/>
  <c r="U988" i="1"/>
  <c r="V988" i="1"/>
  <c r="W988" i="1"/>
  <c r="U989" i="1"/>
  <c r="V989" i="1"/>
  <c r="W989" i="1"/>
  <c r="U990" i="1"/>
  <c r="V990" i="1"/>
  <c r="W990" i="1"/>
  <c r="U991" i="1"/>
  <c r="V991" i="1"/>
  <c r="W991" i="1"/>
  <c r="U992" i="1"/>
  <c r="V992" i="1"/>
  <c r="W992" i="1"/>
  <c r="U993" i="1"/>
  <c r="V993" i="1"/>
  <c r="W993" i="1"/>
  <c r="U994" i="1"/>
  <c r="V994" i="1"/>
  <c r="W994" i="1"/>
  <c r="U995" i="1"/>
  <c r="V995" i="1"/>
  <c r="W995" i="1"/>
  <c r="U996" i="1"/>
  <c r="V996" i="1"/>
  <c r="W996" i="1"/>
  <c r="U997" i="1"/>
  <c r="V997" i="1"/>
  <c r="W997" i="1"/>
  <c r="U998" i="1"/>
  <c r="V998" i="1"/>
  <c r="W998" i="1"/>
  <c r="U999" i="1"/>
  <c r="V999" i="1"/>
  <c r="W999" i="1"/>
  <c r="U1000" i="1"/>
  <c r="V1000" i="1"/>
  <c r="W1000" i="1"/>
  <c r="U1001" i="1"/>
  <c r="V1001" i="1"/>
  <c r="W1001" i="1"/>
  <c r="W2" i="1"/>
  <c r="V2" i="1"/>
  <c r="U2" i="1"/>
</calcChain>
</file>

<file path=xl/sharedStrings.xml><?xml version="1.0" encoding="utf-8"?>
<sst xmlns="http://schemas.openxmlformats.org/spreadsheetml/2006/main" count="12223" uniqueCount="1889">
  <si>
    <t>order_id</t>
  </si>
  <si>
    <t>order_date</t>
  </si>
  <si>
    <t>ship_date</t>
  </si>
  <si>
    <t>customer_id</t>
  </si>
  <si>
    <t>customer_name</t>
  </si>
  <si>
    <t>segment</t>
  </si>
  <si>
    <t>city</t>
  </si>
  <si>
    <t>province</t>
  </si>
  <si>
    <t>region</t>
  </si>
  <si>
    <t>category</t>
  </si>
  <si>
    <t>sub_category</t>
  </si>
  <si>
    <t>product_id</t>
  </si>
  <si>
    <t>product_name</t>
  </si>
  <si>
    <t>quantity</t>
  </si>
  <si>
    <t>unit_price</t>
  </si>
  <si>
    <t>discount</t>
  </si>
  <si>
    <t>sales</t>
  </si>
  <si>
    <t>cost</t>
  </si>
  <si>
    <t>profit</t>
  </si>
  <si>
    <t>payment_method</t>
  </si>
  <si>
    <t>ORD-00001</t>
  </si>
  <si>
    <t>CUST-0016</t>
  </si>
  <si>
    <t>Citra Putra</t>
  </si>
  <si>
    <t>Consumer</t>
  </si>
  <si>
    <t>Semarang</t>
  </si>
  <si>
    <t>Jawa Tengah</t>
  </si>
  <si>
    <t>Central</t>
  </si>
  <si>
    <t>Office Supplies</t>
  </si>
  <si>
    <t>Writing</t>
  </si>
  <si>
    <t>PROD-7529</t>
  </si>
  <si>
    <t>Marker Set</t>
  </si>
  <si>
    <t>Bank Transfer</t>
  </si>
  <si>
    <t>ORD-00002</t>
  </si>
  <si>
    <t>CUST-0082</t>
  </si>
  <si>
    <t>Zahra Hidayat</t>
  </si>
  <si>
    <t>Corporate</t>
  </si>
  <si>
    <t>Furniture</t>
  </si>
  <si>
    <t>Storage</t>
  </si>
  <si>
    <t>PROD-7524</t>
  </si>
  <si>
    <t>Filing Cabinet</t>
  </si>
  <si>
    <t>Cash</t>
  </si>
  <si>
    <t>ORD-00003</t>
  </si>
  <si>
    <t>CUST-0236</t>
  </si>
  <si>
    <t>Sari Santoso</t>
  </si>
  <si>
    <t>Bandung</t>
  </si>
  <si>
    <t>Jawa Barat</t>
  </si>
  <si>
    <t>West</t>
  </si>
  <si>
    <t>Technology</t>
  </si>
  <si>
    <t>Accessories</t>
  </si>
  <si>
    <t>PROD-4943</t>
  </si>
  <si>
    <t>Mechanical Keyboard</t>
  </si>
  <si>
    <t>ORD-00004</t>
  </si>
  <si>
    <t>CUST-0149</t>
  </si>
  <si>
    <t>Citra Nugroho</t>
  </si>
  <si>
    <t>Small Business</t>
  </si>
  <si>
    <t>Makassar</t>
  </si>
  <si>
    <t>Sulawesi Selatan</t>
  </si>
  <si>
    <t>East</t>
  </si>
  <si>
    <t>PROD-2602</t>
  </si>
  <si>
    <t>Bookshelf 4 Tier</t>
  </si>
  <si>
    <t>E-Wallet</t>
  </si>
  <si>
    <t>ORD-00005</t>
  </si>
  <si>
    <t>CUST-0037</t>
  </si>
  <si>
    <t>Vina Ramadhan</t>
  </si>
  <si>
    <t>Denpasar</t>
  </si>
  <si>
    <t>Bali</t>
  </si>
  <si>
    <t>PROD-3744</t>
  </si>
  <si>
    <t>Wireless Mouse</t>
  </si>
  <si>
    <t>ORD-00006</t>
  </si>
  <si>
    <t>CUST-0017</t>
  </si>
  <si>
    <t>Rizky Permata</t>
  </si>
  <si>
    <t>PROD-7527</t>
  </si>
  <si>
    <t>Ballpoint Pen Box</t>
  </si>
  <si>
    <t>Credit Card</t>
  </si>
  <si>
    <t>ORD-00007</t>
  </si>
  <si>
    <t>CUST-0135</t>
  </si>
  <si>
    <t>Farhan Anggraini</t>
  </si>
  <si>
    <t>ORD-00008</t>
  </si>
  <si>
    <t>CUST-0217</t>
  </si>
  <si>
    <t>Vina Santoso</t>
  </si>
  <si>
    <t>Bogor</t>
  </si>
  <si>
    <t>Chair</t>
  </si>
  <si>
    <t>PROD-0956</t>
  </si>
  <si>
    <t>Study Chair</t>
  </si>
  <si>
    <t>ORD-00009</t>
  </si>
  <si>
    <t>CUST-0175</t>
  </si>
  <si>
    <t>Dewi Lestari</t>
  </si>
  <si>
    <t>Medan</t>
  </si>
  <si>
    <t>Sumatera Utara</t>
  </si>
  <si>
    <t>Desk</t>
  </si>
  <si>
    <t>PROD-4040</t>
  </si>
  <si>
    <t>Standing Desk</t>
  </si>
  <si>
    <t>ORD-00010</t>
  </si>
  <si>
    <t>CUST-0260</t>
  </si>
  <si>
    <t>Vina Putra</t>
  </si>
  <si>
    <t>Yogyakarta</t>
  </si>
  <si>
    <t>DI Yogyakarta</t>
  </si>
  <si>
    <t>ORD-00011</t>
  </si>
  <si>
    <t>CUST-0123</t>
  </si>
  <si>
    <t>Bima Putra</t>
  </si>
  <si>
    <t>Paper</t>
  </si>
  <si>
    <t>PROD-7955</t>
  </si>
  <si>
    <t>A4 Copy Paper 80gsm</t>
  </si>
  <si>
    <t>ORD-00012</t>
  </si>
  <si>
    <t>Gita Siregar</t>
  </si>
  <si>
    <t>PROD-9601</t>
  </si>
  <si>
    <t>Photo Paper Pack</t>
  </si>
  <si>
    <t>ORD-00013</t>
  </si>
  <si>
    <t>CUST-0118</t>
  </si>
  <si>
    <t>Toni Putra</t>
  </si>
  <si>
    <t>ORD-00014</t>
  </si>
  <si>
    <t>CUST-0110</t>
  </si>
  <si>
    <t>Sari Wijaya</t>
  </si>
  <si>
    <t>ORD-00015</t>
  </si>
  <si>
    <t>CUST-0051</t>
  </si>
  <si>
    <t>Bima Hidayat</t>
  </si>
  <si>
    <t>Stationery</t>
  </si>
  <si>
    <t>PROD-1004</t>
  </si>
  <si>
    <t>Sticky Notes Pack</t>
  </si>
  <si>
    <t>ORD-00016</t>
  </si>
  <si>
    <t>CUST-0039</t>
  </si>
  <si>
    <t>Oki Utami</t>
  </si>
  <si>
    <t>ORD-00017</t>
  </si>
  <si>
    <t>CUST-0031</t>
  </si>
  <si>
    <t>Fajar Hidayat</t>
  </si>
  <si>
    <t>ORD-00018</t>
  </si>
  <si>
    <t>CUST-0032</t>
  </si>
  <si>
    <t>Farhan Permata</t>
  </si>
  <si>
    <t>Printer</t>
  </si>
  <si>
    <t>PROD-5410</t>
  </si>
  <si>
    <t>Inkjet Printer</t>
  </si>
  <si>
    <t>ORD-00019</t>
  </si>
  <si>
    <t>CUST-0207</t>
  </si>
  <si>
    <t>Dewi Siregar</t>
  </si>
  <si>
    <t>ORD-00020</t>
  </si>
  <si>
    <t>CUST-0203</t>
  </si>
  <si>
    <t>Eka Ramadhan</t>
  </si>
  <si>
    <t>ORD-00021</t>
  </si>
  <si>
    <t>CUST-0036</t>
  </si>
  <si>
    <t>Dinda Putra</t>
  </si>
  <si>
    <t>Jakarta</t>
  </si>
  <si>
    <t>DKI Jakarta</t>
  </si>
  <si>
    <t>Laptop</t>
  </si>
  <si>
    <t>PROD-8448</t>
  </si>
  <si>
    <t>Student Laptop 14 inch</t>
  </si>
  <si>
    <t>ORD-00022</t>
  </si>
  <si>
    <t>CUST-0069</t>
  </si>
  <si>
    <t>Indra Santoso</t>
  </si>
  <si>
    <t>ORD-00023</t>
  </si>
  <si>
    <t>CUST-0027</t>
  </si>
  <si>
    <t>Citra Ramadhan</t>
  </si>
  <si>
    <t>PROD-6903</t>
  </si>
  <si>
    <t>Office Desk 120cm</t>
  </si>
  <si>
    <t>ORD-00024</t>
  </si>
  <si>
    <t>CUST-0058</t>
  </si>
  <si>
    <t>Citra Siregar</t>
  </si>
  <si>
    <t>Surabaya</t>
  </si>
  <si>
    <t>Jawa Timur</t>
  </si>
  <si>
    <t>PROD-7745</t>
  </si>
  <si>
    <t>Business Laptop 14 inch</t>
  </si>
  <si>
    <t>ORD-00025</t>
  </si>
  <si>
    <t>CUST-0021</t>
  </si>
  <si>
    <t>Dinda Permata</t>
  </si>
  <si>
    <t>ORD-00026</t>
  </si>
  <si>
    <t>CUST-0084</t>
  </si>
  <si>
    <t>Rizky Utami</t>
  </si>
  <si>
    <t>ORD-00027</t>
  </si>
  <si>
    <t>CUST-0241</t>
  </si>
  <si>
    <t>Hadi Putra</t>
  </si>
  <si>
    <t>Malang</t>
  </si>
  <si>
    <t>ORD-00028</t>
  </si>
  <si>
    <t>CUST-0180</t>
  </si>
  <si>
    <t>Wulan Saputra</t>
  </si>
  <si>
    <t>Smartphone</t>
  </si>
  <si>
    <t>PROD-6076</t>
  </si>
  <si>
    <t>Android Smartphone 256GB</t>
  </si>
  <si>
    <t>ORD-00029</t>
  </si>
  <si>
    <t>CUST-0223</t>
  </si>
  <si>
    <t>Lina Mahendra</t>
  </si>
  <si>
    <t>Binder</t>
  </si>
  <si>
    <t>PROD-7352</t>
  </si>
  <si>
    <t>Document Organizer</t>
  </si>
  <si>
    <t>ORD-00030</t>
  </si>
  <si>
    <t>CUST-0101</t>
  </si>
  <si>
    <t>Lina Hidayat</t>
  </si>
  <si>
    <t>ORD-00031</t>
  </si>
  <si>
    <t>CUST-0066</t>
  </si>
  <si>
    <t>Gita Hidayat</t>
  </si>
  <si>
    <t>ORD-00032</t>
  </si>
  <si>
    <t>CUST-0165</t>
  </si>
  <si>
    <t>Oki Kusuma</t>
  </si>
  <si>
    <t>ORD-00033</t>
  </si>
  <si>
    <t>CUST-0121</t>
  </si>
  <si>
    <t>Yoga Lestari</t>
  </si>
  <si>
    <t>ORD-00034</t>
  </si>
  <si>
    <t>CUST-0100</t>
  </si>
  <si>
    <t>Zahra Mahendra</t>
  </si>
  <si>
    <t>ORD-00035</t>
  </si>
  <si>
    <t>CUST-0238</t>
  </si>
  <si>
    <t>Bima Saputra</t>
  </si>
  <si>
    <t>ORD-00036</t>
  </si>
  <si>
    <t>CUST-0259</t>
  </si>
  <si>
    <t>Nadia Nugroho</t>
  </si>
  <si>
    <t>PROD-2176</t>
  </si>
  <si>
    <t>Android Smartphone 128GB</t>
  </si>
  <si>
    <t>ORD-00037</t>
  </si>
  <si>
    <t>Indra Kusuma</t>
  </si>
  <si>
    <t>PROD-5388</t>
  </si>
  <si>
    <t>Desk Organizer</t>
  </si>
  <si>
    <t>ORD-00038</t>
  </si>
  <si>
    <t>CUST-0033</t>
  </si>
  <si>
    <t>Nadia Hidayat</t>
  </si>
  <si>
    <t>ORD-00039</t>
  </si>
  <si>
    <t>CUST-0195</t>
  </si>
  <si>
    <t>Putri Pratama</t>
  </si>
  <si>
    <t>PROD-9951</t>
  </si>
  <si>
    <t>Ergonomic Office Chair</t>
  </si>
  <si>
    <t>ORD-00040</t>
  </si>
  <si>
    <t>CUST-0208</t>
  </si>
  <si>
    <t>Farhan Wijaya</t>
  </si>
  <si>
    <t>ORD-00041</t>
  </si>
  <si>
    <t>CUST-0134</t>
  </si>
  <si>
    <t>Maya Permata</t>
  </si>
  <si>
    <t>ORD-00042</t>
  </si>
  <si>
    <t>Hadi Ramadhan</t>
  </si>
  <si>
    <t>PROD-1626</t>
  </si>
  <si>
    <t>USB-C Hub</t>
  </si>
  <si>
    <t>ORD-00043</t>
  </si>
  <si>
    <t>CUST-0059</t>
  </si>
  <si>
    <t>ORD-00044</t>
  </si>
  <si>
    <t>CUST-0160</t>
  </si>
  <si>
    <t>Toni Ramadhan</t>
  </si>
  <si>
    <t>ORD-00045</t>
  </si>
  <si>
    <t>CUST-0062</t>
  </si>
  <si>
    <t>Rizky Anggraini</t>
  </si>
  <si>
    <t>ORD-00046</t>
  </si>
  <si>
    <t>CUST-0186</t>
  </si>
  <si>
    <t>Wulan Siregar</t>
  </si>
  <si>
    <t>ORD-00047</t>
  </si>
  <si>
    <t>CUST-0138</t>
  </si>
  <si>
    <t>Kartika Nugroho</t>
  </si>
  <si>
    <t>ORD-00048</t>
  </si>
  <si>
    <t>CUST-0167</t>
  </si>
  <si>
    <t>Fajar Kusuma</t>
  </si>
  <si>
    <t>PROD-9396</t>
  </si>
  <si>
    <t>Ring Binder Folder</t>
  </si>
  <si>
    <t>ORD-00049</t>
  </si>
  <si>
    <t>CUST-0209</t>
  </si>
  <si>
    <t>Putri Saputra</t>
  </si>
  <si>
    <t>ORD-00050</t>
  </si>
  <si>
    <t>CUST-0189</t>
  </si>
  <si>
    <t>ORD-00051</t>
  </si>
  <si>
    <t>Farhan Saputra</t>
  </si>
  <si>
    <t>ORD-00052</t>
  </si>
  <si>
    <t>CUST-0155</t>
  </si>
  <si>
    <t>Aldi Mahendra</t>
  </si>
  <si>
    <t>ORD-00053</t>
  </si>
  <si>
    <t>CUST-0146</t>
  </si>
  <si>
    <t>Putri Kusuma</t>
  </si>
  <si>
    <t>ORD-00054</t>
  </si>
  <si>
    <t>CUST-0028</t>
  </si>
  <si>
    <t>Eka Wijaya</t>
  </si>
  <si>
    <t>ORD-00055</t>
  </si>
  <si>
    <t>CUST-0220</t>
  </si>
  <si>
    <t>Joko Anggraini</t>
  </si>
  <si>
    <t>ORD-00056</t>
  </si>
  <si>
    <t>CUST-0002</t>
  </si>
  <si>
    <t>Nadia Kusuma</t>
  </si>
  <si>
    <t>ORD-00057</t>
  </si>
  <si>
    <t>CUST-0102</t>
  </si>
  <si>
    <t>Nadia Santoso</t>
  </si>
  <si>
    <t>ORD-00058</t>
  </si>
  <si>
    <t>CUST-0225</t>
  </si>
  <si>
    <t>Dewi Kusuma</t>
  </si>
  <si>
    <t>ORD-00059</t>
  </si>
  <si>
    <t>CUST-0129</t>
  </si>
  <si>
    <t>Aldi Santoso</t>
  </si>
  <si>
    <t>ORD-00060</t>
  </si>
  <si>
    <t>CUST-0224</t>
  </si>
  <si>
    <t>Wulan Nugroho</t>
  </si>
  <si>
    <t>ORD-00061</t>
  </si>
  <si>
    <t>CUST-0206</t>
  </si>
  <si>
    <t>Anisa Utami</t>
  </si>
  <si>
    <t>ORD-00062</t>
  </si>
  <si>
    <t>CUST-0237</t>
  </si>
  <si>
    <t>Nadia Pratama</t>
  </si>
  <si>
    <t>ORD-00063</t>
  </si>
  <si>
    <t>CUST-0249</t>
  </si>
  <si>
    <t>Dewi Pratama</t>
  </si>
  <si>
    <t>ORD-00064</t>
  </si>
  <si>
    <t>CUST-0079</t>
  </si>
  <si>
    <t>Putri Siregar</t>
  </si>
  <si>
    <t>ORD-00065</t>
  </si>
  <si>
    <t>CUST-0070</t>
  </si>
  <si>
    <t>Bayu Santoso</t>
  </si>
  <si>
    <t>ORD-00066</t>
  </si>
  <si>
    <t>CUST-0251</t>
  </si>
  <si>
    <t>Bayu Wijaya</t>
  </si>
  <si>
    <t>ORD-00067</t>
  </si>
  <si>
    <t>CUST-0197</t>
  </si>
  <si>
    <t>Hadi Nugroho</t>
  </si>
  <si>
    <t>ORD-00068</t>
  </si>
  <si>
    <t>CUST-0052</t>
  </si>
  <si>
    <t>Bayu Nugroho</t>
  </si>
  <si>
    <t>ORD-00069</t>
  </si>
  <si>
    <t>CUST-0136</t>
  </si>
  <si>
    <t>Kartika Anggraini</t>
  </si>
  <si>
    <t>ORD-00070</t>
  </si>
  <si>
    <t>ORD-00071</t>
  </si>
  <si>
    <t>CUST-0029</t>
  </si>
  <si>
    <t>Joko Permata</t>
  </si>
  <si>
    <t>ORD-00072</t>
  </si>
  <si>
    <t>CUST-0124</t>
  </si>
  <si>
    <t>ORD-00073</t>
  </si>
  <si>
    <t>CUST-0038</t>
  </si>
  <si>
    <t>Oki Permata</t>
  </si>
  <si>
    <t>ORD-00074</t>
  </si>
  <si>
    <t>CUST-0184</t>
  </si>
  <si>
    <t>Toni Lestari</t>
  </si>
  <si>
    <t>ORD-00075</t>
  </si>
  <si>
    <t>Vina Utami</t>
  </si>
  <si>
    <t>ORD-00076</t>
  </si>
  <si>
    <t>CUST-0047</t>
  </si>
  <si>
    <t>Rian Lestari</t>
  </si>
  <si>
    <t>ORD-00077</t>
  </si>
  <si>
    <t>CUST-0247</t>
  </si>
  <si>
    <t>Rizky Lestari</t>
  </si>
  <si>
    <t>ORD-00078</t>
  </si>
  <si>
    <t>CUST-0188</t>
  </si>
  <si>
    <t>Citra Utami</t>
  </si>
  <si>
    <t>ORD-00079</t>
  </si>
  <si>
    <t>CUST-0120</t>
  </si>
  <si>
    <t>ORD-00080</t>
  </si>
  <si>
    <t>CUST-0253</t>
  </si>
  <si>
    <t>Dewi Santoso</t>
  </si>
  <si>
    <t>ORD-00081</t>
  </si>
  <si>
    <t>Vina Hidayat</t>
  </si>
  <si>
    <t>ORD-00082</t>
  </si>
  <si>
    <t>ORD-00083</t>
  </si>
  <si>
    <t>CUST-0106</t>
  </si>
  <si>
    <t>ORD-00084</t>
  </si>
  <si>
    <t>CUST-0090</t>
  </si>
  <si>
    <t>Dewi Ramadhan</t>
  </si>
  <si>
    <t>ORD-00085</t>
  </si>
  <si>
    <t>ORD-00086</t>
  </si>
  <si>
    <t>Bima Kusuma</t>
  </si>
  <si>
    <t>ORD-00087</t>
  </si>
  <si>
    <t>Maya Anggraini</t>
  </si>
  <si>
    <t>ORD-00088</t>
  </si>
  <si>
    <t>CUST-0111</t>
  </si>
  <si>
    <t>ORD-00089</t>
  </si>
  <si>
    <t>CUST-0243</t>
  </si>
  <si>
    <t>Citra Santoso</t>
  </si>
  <si>
    <t>ORD-00090</t>
  </si>
  <si>
    <t>CUST-0182</t>
  </si>
  <si>
    <t>Bayu Ramadhan</t>
  </si>
  <si>
    <t>ORD-00091</t>
  </si>
  <si>
    <t>CUST-0056</t>
  </si>
  <si>
    <t>Lina Nugroho</t>
  </si>
  <si>
    <t>ORD-00092</t>
  </si>
  <si>
    <t>CUST-0140</t>
  </si>
  <si>
    <t>Zahra Utami</t>
  </si>
  <si>
    <t>ORD-00093</t>
  </si>
  <si>
    <t>Maya Hidayat</t>
  </si>
  <si>
    <t>ORD-00094</t>
  </si>
  <si>
    <t>CUST-0042</t>
  </si>
  <si>
    <t>ORD-00095</t>
  </si>
  <si>
    <t>CUST-0158</t>
  </si>
  <si>
    <t>ORD-00096</t>
  </si>
  <si>
    <t>CUST-0221</t>
  </si>
  <si>
    <t>Fajar Wijaya</t>
  </si>
  <si>
    <t>ORD-00097</t>
  </si>
  <si>
    <t>Toni Hidayat</t>
  </si>
  <si>
    <t>ORD-00098</t>
  </si>
  <si>
    <t>CUST-0125</t>
  </si>
  <si>
    <t>Nadia Anggraini</t>
  </si>
  <si>
    <t>ORD-00099</t>
  </si>
  <si>
    <t>CUST-0179</t>
  </si>
  <si>
    <t>ORD-00100</t>
  </si>
  <si>
    <t>ORD-00101</t>
  </si>
  <si>
    <t>CUST-0181</t>
  </si>
  <si>
    <t>Raka Santoso</t>
  </si>
  <si>
    <t>ORD-00102</t>
  </si>
  <si>
    <t>Oki Anggraini</t>
  </si>
  <si>
    <t>ORD-00103</t>
  </si>
  <si>
    <t>CUST-0044</t>
  </si>
  <si>
    <t>Raka Ramadhan</t>
  </si>
  <si>
    <t>ORD-00104</t>
  </si>
  <si>
    <t>Rizky Ramadhan</t>
  </si>
  <si>
    <t>ORD-00105</t>
  </si>
  <si>
    <t>CUST-0201</t>
  </si>
  <si>
    <t>Eka Anggraini</t>
  </si>
  <si>
    <t>ORD-00106</t>
  </si>
  <si>
    <t>CUST-0093</t>
  </si>
  <si>
    <t>Gita Permata</t>
  </si>
  <si>
    <t>ORD-00107</t>
  </si>
  <si>
    <t>CUST-0173</t>
  </si>
  <si>
    <t>Dinda Utami</t>
  </si>
  <si>
    <t>ORD-00108</t>
  </si>
  <si>
    <t>CUST-0228</t>
  </si>
  <si>
    <t>Vina Lestari</t>
  </si>
  <si>
    <t>ORD-00109</t>
  </si>
  <si>
    <t>CUST-0145</t>
  </si>
  <si>
    <t>Nabila Hidayat</t>
  </si>
  <si>
    <t>ORD-00110</t>
  </si>
  <si>
    <t>CUST-0053</t>
  </si>
  <si>
    <t>Zahra Nugroho</t>
  </si>
  <si>
    <t>ORD-00111</t>
  </si>
  <si>
    <t>Rian Pratama</t>
  </si>
  <si>
    <t>ORD-00112</t>
  </si>
  <si>
    <t>CUST-0172</t>
  </si>
  <si>
    <t>Rizky Wijaya</t>
  </si>
  <si>
    <t>ORD-00113</t>
  </si>
  <si>
    <t>CUST-0077</t>
  </si>
  <si>
    <t>Sari Mahendra</t>
  </si>
  <si>
    <t>ORD-00114</t>
  </si>
  <si>
    <t>CUST-0256</t>
  </si>
  <si>
    <t>Vina Saputra</t>
  </si>
  <si>
    <t>ORD-00115</t>
  </si>
  <si>
    <t>Raka Permata</t>
  </si>
  <si>
    <t>ORD-00116</t>
  </si>
  <si>
    <t>CUST-0183</t>
  </si>
  <si>
    <t>Rizky Santoso</t>
  </si>
  <si>
    <t>ORD-00117</t>
  </si>
  <si>
    <t>Zahra Kusuma</t>
  </si>
  <si>
    <t>ORD-00118</t>
  </si>
  <si>
    <t>CUST-0204</t>
  </si>
  <si>
    <t>Anisa Saputra</t>
  </si>
  <si>
    <t>ORD-00119</t>
  </si>
  <si>
    <t>CUST-0205</t>
  </si>
  <si>
    <t>Farhan Kusuma</t>
  </si>
  <si>
    <t>ORD-00120</t>
  </si>
  <si>
    <t>Sari Lestari</t>
  </si>
  <si>
    <t>ORD-00121</t>
  </si>
  <si>
    <t>ORD-00122</t>
  </si>
  <si>
    <t>CUST-0074</t>
  </si>
  <si>
    <t>Bayu Anggraini</t>
  </si>
  <si>
    <t>ORD-00123</t>
  </si>
  <si>
    <t>CUST-0040</t>
  </si>
  <si>
    <t>Toni Wijaya</t>
  </si>
  <si>
    <t>ORD-00124</t>
  </si>
  <si>
    <t>CUST-0061</t>
  </si>
  <si>
    <t>Indra Utami</t>
  </si>
  <si>
    <t>ORD-00125</t>
  </si>
  <si>
    <t>ORD-00126</t>
  </si>
  <si>
    <t>Raka Putra</t>
  </si>
  <si>
    <t>ORD-00127</t>
  </si>
  <si>
    <t>CUST-0034</t>
  </si>
  <si>
    <t>Joko Hidayat</t>
  </si>
  <si>
    <t>ORD-00128</t>
  </si>
  <si>
    <t>CUST-0094</t>
  </si>
  <si>
    <t>Nabila Wijaya</t>
  </si>
  <si>
    <t>ORD-00129</t>
  </si>
  <si>
    <t>ORD-00130</t>
  </si>
  <si>
    <t>Anisa Siregar</t>
  </si>
  <si>
    <t>ORD-00131</t>
  </si>
  <si>
    <t>CUST-0255</t>
  </si>
  <si>
    <t>Dinda Ramadhan</t>
  </si>
  <si>
    <t>ORD-00132</t>
  </si>
  <si>
    <t>CUST-0248</t>
  </si>
  <si>
    <t>Oki Putra</t>
  </si>
  <si>
    <t>ORD-00133</t>
  </si>
  <si>
    <t>CUST-0063</t>
  </si>
  <si>
    <t>ORD-00134</t>
  </si>
  <si>
    <t>CUST-0161</t>
  </si>
  <si>
    <t>Gita Utami</t>
  </si>
  <si>
    <t>ORD-00135</t>
  </si>
  <si>
    <t>Toni Permata</t>
  </si>
  <si>
    <t>ORD-00136</t>
  </si>
  <si>
    <t>ORD-00137</t>
  </si>
  <si>
    <t>Eka Santoso</t>
  </si>
  <si>
    <t>ORD-00138</t>
  </si>
  <si>
    <t>CUST-0071</t>
  </si>
  <si>
    <t>Zahra Permata</t>
  </si>
  <si>
    <t>ORD-00139</t>
  </si>
  <si>
    <t>Raka Nugroho</t>
  </si>
  <si>
    <t>ORD-00140</t>
  </si>
  <si>
    <t>CUST-0014</t>
  </si>
  <si>
    <t>Vina Kusuma</t>
  </si>
  <si>
    <t>ORD-00141</t>
  </si>
  <si>
    <t>Bima Anggraini</t>
  </si>
  <si>
    <t>ORD-00142</t>
  </si>
  <si>
    <t>Zahra Wijaya</t>
  </si>
  <si>
    <t>ORD-00143</t>
  </si>
  <si>
    <t>ORD-00144</t>
  </si>
  <si>
    <t>CUST-0246</t>
  </si>
  <si>
    <t>Lina Saputra</t>
  </si>
  <si>
    <t>ORD-00145</t>
  </si>
  <si>
    <t>CUST-0227</t>
  </si>
  <si>
    <t>Wulan Lestari</t>
  </si>
  <si>
    <t>ORD-00146</t>
  </si>
  <si>
    <t>CUST-0116</t>
  </si>
  <si>
    <t>Wulan Putra</t>
  </si>
  <si>
    <t>ORD-00147</t>
  </si>
  <si>
    <t>CUST-0244</t>
  </si>
  <si>
    <t>Putri Ramadhan</t>
  </si>
  <si>
    <t>ORD-00148</t>
  </si>
  <si>
    <t>CUST-0020</t>
  </si>
  <si>
    <t>Rian Siregar</t>
  </si>
  <si>
    <t>ORD-00149</t>
  </si>
  <si>
    <t>Dinda Pratama</t>
  </si>
  <si>
    <t>ORD-00150</t>
  </si>
  <si>
    <t>Kartika Wijaya</t>
  </si>
  <si>
    <t>ORD-00151</t>
  </si>
  <si>
    <t>Anisa Hidayat</t>
  </si>
  <si>
    <t>ORD-00152</t>
  </si>
  <si>
    <t>CUST-0137</t>
  </si>
  <si>
    <t>Kartika Lestari</t>
  </si>
  <si>
    <t>ORD-00153</t>
  </si>
  <si>
    <t>Zahra Santoso</t>
  </si>
  <si>
    <t>ORD-00154</t>
  </si>
  <si>
    <t>CUST-0242</t>
  </si>
  <si>
    <t>Nabila Saputra</t>
  </si>
  <si>
    <t>ORD-00155</t>
  </si>
  <si>
    <t>Gita Anggraini</t>
  </si>
  <si>
    <t>ORD-00156</t>
  </si>
  <si>
    <t>CUST-0213</t>
  </si>
  <si>
    <t>ORD-00157</t>
  </si>
  <si>
    <t>Sari Pratama</t>
  </si>
  <si>
    <t>ORD-00158</t>
  </si>
  <si>
    <t>CUST-0194</t>
  </si>
  <si>
    <t>Maya Santoso</t>
  </si>
  <si>
    <t>ORD-00159</t>
  </si>
  <si>
    <t>CUST-0012</t>
  </si>
  <si>
    <t>Joko Kusuma</t>
  </si>
  <si>
    <t>ORD-00160</t>
  </si>
  <si>
    <t>CUST-0215</t>
  </si>
  <si>
    <t>ORD-00161</t>
  </si>
  <si>
    <t>Eka Saputra</t>
  </si>
  <si>
    <t>ORD-00162</t>
  </si>
  <si>
    <t>CUST-0212</t>
  </si>
  <si>
    <t>Joko Lestari</t>
  </si>
  <si>
    <t>ORD-00163</t>
  </si>
  <si>
    <t>CUST-0164</t>
  </si>
  <si>
    <t>ORD-00164</t>
  </si>
  <si>
    <t>Nadia Saputra</t>
  </si>
  <si>
    <t>ORD-00165</t>
  </si>
  <si>
    <t>CUST-0098</t>
  </si>
  <si>
    <t>Bima Lestari</t>
  </si>
  <si>
    <t>ORD-00166</t>
  </si>
  <si>
    <t>CUST-0008</t>
  </si>
  <si>
    <t>ORD-00167</t>
  </si>
  <si>
    <t>CUST-0239</t>
  </si>
  <si>
    <t>Sari Ramadhan</t>
  </si>
  <si>
    <t>ORD-00168</t>
  </si>
  <si>
    <t>CUST-0024</t>
  </si>
  <si>
    <t>Toni Nugroho</t>
  </si>
  <si>
    <t>ORD-00169</t>
  </si>
  <si>
    <t>CUST-0126</t>
  </si>
  <si>
    <t>ORD-00170</t>
  </si>
  <si>
    <t>Raka Pratama</t>
  </si>
  <si>
    <t>ORD-00171</t>
  </si>
  <si>
    <t>ORD-00172</t>
  </si>
  <si>
    <t>CUST-0258</t>
  </si>
  <si>
    <t>Anisa Mahendra</t>
  </si>
  <si>
    <t>ORD-00173</t>
  </si>
  <si>
    <t>Citra Permata</t>
  </si>
  <si>
    <t>ORD-00174</t>
  </si>
  <si>
    <t>Maya Saputra</t>
  </si>
  <si>
    <t>ORD-00175</t>
  </si>
  <si>
    <t>CUST-0022</t>
  </si>
  <si>
    <t>ORD-00176</t>
  </si>
  <si>
    <t>Nabila Nugroho</t>
  </si>
  <si>
    <t>ORD-00177</t>
  </si>
  <si>
    <t>CUST-0041</t>
  </si>
  <si>
    <t>Raka Mahendra</t>
  </si>
  <si>
    <t>ORD-00178</t>
  </si>
  <si>
    <t>CUST-0231</t>
  </si>
  <si>
    <t>Putri Putra</t>
  </si>
  <si>
    <t>ORD-00179</t>
  </si>
  <si>
    <t>CUST-0043</t>
  </si>
  <si>
    <t>Indra Wijaya</t>
  </si>
  <si>
    <t>ORD-00180</t>
  </si>
  <si>
    <t>ORD-00181</t>
  </si>
  <si>
    <t>CUST-0198</t>
  </si>
  <si>
    <t>Aldi Lestari</t>
  </si>
  <si>
    <t>ORD-00182</t>
  </si>
  <si>
    <t>CUST-0086</t>
  </si>
  <si>
    <t>Nadia Lestari</t>
  </si>
  <si>
    <t>ORD-00183</t>
  </si>
  <si>
    <t>Joko Pratama</t>
  </si>
  <si>
    <t>ORD-00184</t>
  </si>
  <si>
    <t>Vina Mahendra</t>
  </si>
  <si>
    <t>ORD-00185</t>
  </si>
  <si>
    <t>CUST-0202</t>
  </si>
  <si>
    <t>Lina Santoso</t>
  </si>
  <si>
    <t>ORD-00186</t>
  </si>
  <si>
    <t>Anisa Nugroho</t>
  </si>
  <si>
    <t>ORD-00187</t>
  </si>
  <si>
    <t>ORD-00188</t>
  </si>
  <si>
    <t>Nabila Putra</t>
  </si>
  <si>
    <t>ORD-00189</t>
  </si>
  <si>
    <t>Indra Putra</t>
  </si>
  <si>
    <t>ORD-00190</t>
  </si>
  <si>
    <t>CUST-0177</t>
  </si>
  <si>
    <t>Aldi Kusuma</t>
  </si>
  <si>
    <t>ORD-00191</t>
  </si>
  <si>
    <t>Putri Santoso</t>
  </si>
  <si>
    <t>ORD-00192</t>
  </si>
  <si>
    <t>Raka Wijaya</t>
  </si>
  <si>
    <t>ORD-00193</t>
  </si>
  <si>
    <t>ORD-00194</t>
  </si>
  <si>
    <t>Oki Santoso</t>
  </si>
  <si>
    <t>ORD-00195</t>
  </si>
  <si>
    <t>CUST-0153</t>
  </si>
  <si>
    <t>Rian Anggraini</t>
  </si>
  <si>
    <t>ORD-00196</t>
  </si>
  <si>
    <t>Nadia Wijaya</t>
  </si>
  <si>
    <t>ORD-00197</t>
  </si>
  <si>
    <t>ORD-00198</t>
  </si>
  <si>
    <t>CUST-0113</t>
  </si>
  <si>
    <t>ORD-00199</t>
  </si>
  <si>
    <t>Sari Nugroho</t>
  </si>
  <si>
    <t>ORD-00200</t>
  </si>
  <si>
    <t>CUST-0045</t>
  </si>
  <si>
    <t>Oki Nugroho</t>
  </si>
  <si>
    <t>ORD-00201</t>
  </si>
  <si>
    <t>ORD-00202</t>
  </si>
  <si>
    <t>CUST-0049</t>
  </si>
  <si>
    <t>Eka Utami</t>
  </si>
  <si>
    <t>ORD-00203</t>
  </si>
  <si>
    <t>Wulan Hidayat</t>
  </si>
  <si>
    <t>ORD-00204</t>
  </si>
  <si>
    <t>Bayu Utami</t>
  </si>
  <si>
    <t>ORD-00205</t>
  </si>
  <si>
    <t>Kartika Saputra</t>
  </si>
  <si>
    <t>ORD-00206</t>
  </si>
  <si>
    <t>Gita Mahendra</t>
  </si>
  <si>
    <t>ORD-00207</t>
  </si>
  <si>
    <t>CUST-0157</t>
  </si>
  <si>
    <t>Farhan Mahendra</t>
  </si>
  <si>
    <t>ORD-00208</t>
  </si>
  <si>
    <t>CUST-0176</t>
  </si>
  <si>
    <t>Anisa Santoso</t>
  </si>
  <si>
    <t>ORD-00209</t>
  </si>
  <si>
    <t>Wulan Ramadhan</t>
  </si>
  <si>
    <t>ORD-00210</t>
  </si>
  <si>
    <t>Bayu Putra</t>
  </si>
  <si>
    <t>ORD-00211</t>
  </si>
  <si>
    <t>Hadi Saputra</t>
  </si>
  <si>
    <t>ORD-00212</t>
  </si>
  <si>
    <t>Putri Hidayat</t>
  </si>
  <si>
    <t>ORD-00213</t>
  </si>
  <si>
    <t>CUST-0216</t>
  </si>
  <si>
    <t>ORD-00214</t>
  </si>
  <si>
    <t>Joko Ramadhan</t>
  </si>
  <si>
    <t>ORD-00215</t>
  </si>
  <si>
    <t>CUST-0080</t>
  </si>
  <si>
    <t>Sari Permata</t>
  </si>
  <si>
    <t>ORD-00216</t>
  </si>
  <si>
    <t>ORD-00217</t>
  </si>
  <si>
    <t>CUST-0065</t>
  </si>
  <si>
    <t>Farhan Utami</t>
  </si>
  <si>
    <t>ORD-00218</t>
  </si>
  <si>
    <t>Oki Saputra</t>
  </si>
  <si>
    <t>ORD-00219</t>
  </si>
  <si>
    <t>Bima Nugroho</t>
  </si>
  <si>
    <t>ORD-00220</t>
  </si>
  <si>
    <t>Hadi Permata</t>
  </si>
  <si>
    <t>ORD-00221</t>
  </si>
  <si>
    <t>ORD-00222</t>
  </si>
  <si>
    <t>ORD-00223</t>
  </si>
  <si>
    <t>CUST-0005</t>
  </si>
  <si>
    <t>Kartika Pratama</t>
  </si>
  <si>
    <t>ORD-00224</t>
  </si>
  <si>
    <t>CUST-0144</t>
  </si>
  <si>
    <t>Citra Pratama</t>
  </si>
  <si>
    <t>ORD-00225</t>
  </si>
  <si>
    <t>Nadia Ramadhan</t>
  </si>
  <si>
    <t>ORD-00226</t>
  </si>
  <si>
    <t>ORD-00227</t>
  </si>
  <si>
    <t>CUST-0156</t>
  </si>
  <si>
    <t>ORD-00228</t>
  </si>
  <si>
    <t>Aldi Hidayat</t>
  </si>
  <si>
    <t>ORD-00229</t>
  </si>
  <si>
    <t>ORD-00230</t>
  </si>
  <si>
    <t>ORD-00231</t>
  </si>
  <si>
    <t>CUST-0089</t>
  </si>
  <si>
    <t>Lina Putra</t>
  </si>
  <si>
    <t>ORD-00232</t>
  </si>
  <si>
    <t>Indra Hidayat</t>
  </si>
  <si>
    <t>ORD-00233</t>
  </si>
  <si>
    <t>Kartika Hidayat</t>
  </si>
  <si>
    <t>ORD-00234</t>
  </si>
  <si>
    <t>Fajar Santoso</t>
  </si>
  <si>
    <t>ORD-00235</t>
  </si>
  <si>
    <t>CUST-0163</t>
  </si>
  <si>
    <t>Rizky Mahendra</t>
  </si>
  <si>
    <t>ORD-00236</t>
  </si>
  <si>
    <t>ORD-00237</t>
  </si>
  <si>
    <t>CUST-0091</t>
  </si>
  <si>
    <t>Rian Utami</t>
  </si>
  <si>
    <t>ORD-00238</t>
  </si>
  <si>
    <t>ORD-00239</t>
  </si>
  <si>
    <t>ORD-00240</t>
  </si>
  <si>
    <t>Fajar Anggraini</t>
  </si>
  <si>
    <t>ORD-00241</t>
  </si>
  <si>
    <t>ORD-00242</t>
  </si>
  <si>
    <t>CUST-0001</t>
  </si>
  <si>
    <t>ORD-00243</t>
  </si>
  <si>
    <t>ORD-00244</t>
  </si>
  <si>
    <t>CUST-0048</t>
  </si>
  <si>
    <t>ORD-00245</t>
  </si>
  <si>
    <t>ORD-00246</t>
  </si>
  <si>
    <t>Gita Santoso</t>
  </si>
  <si>
    <t>ORD-00247</t>
  </si>
  <si>
    <t>ORD-00248</t>
  </si>
  <si>
    <t>ORD-00249</t>
  </si>
  <si>
    <t>Toni Siregar</t>
  </si>
  <si>
    <t>ORD-00250</t>
  </si>
  <si>
    <t>CUST-0109</t>
  </si>
  <si>
    <t>Rizky Putra</t>
  </si>
  <si>
    <t>ORD-00251</t>
  </si>
  <si>
    <t>CUST-0035</t>
  </si>
  <si>
    <t>Citra Hidayat</t>
  </si>
  <si>
    <t>ORD-00252</t>
  </si>
  <si>
    <t>ORD-00253</t>
  </si>
  <si>
    <t>Bima Wijaya</t>
  </si>
  <si>
    <t>ORD-00254</t>
  </si>
  <si>
    <t>CUST-0191</t>
  </si>
  <si>
    <t>Aldi Permata</t>
  </si>
  <si>
    <t>ORD-00255</t>
  </si>
  <si>
    <t>Farhan Hidayat</t>
  </si>
  <si>
    <t>ORD-00256</t>
  </si>
  <si>
    <t>Maya Wijaya</t>
  </si>
  <si>
    <t>ORD-00257</t>
  </si>
  <si>
    <t>Anisa Kusuma</t>
  </si>
  <si>
    <t>ORD-00258</t>
  </si>
  <si>
    <t>Lina Wijaya</t>
  </si>
  <si>
    <t>ORD-00259</t>
  </si>
  <si>
    <t>Yoga Putra</t>
  </si>
  <si>
    <t>ORD-00260</t>
  </si>
  <si>
    <t>ORD-00261</t>
  </si>
  <si>
    <t>CUST-0004</t>
  </si>
  <si>
    <t>ORD-00262</t>
  </si>
  <si>
    <t>Wulan Mahendra</t>
  </si>
  <si>
    <t>ORD-00263</t>
  </si>
  <si>
    <t>CUST-0152</t>
  </si>
  <si>
    <t>Indra Siregar</t>
  </si>
  <si>
    <t>ORD-00264</t>
  </si>
  <si>
    <t>Rian Ramadhan</t>
  </si>
  <si>
    <t>ORD-00265</t>
  </si>
  <si>
    <t>Yoga Siregar</t>
  </si>
  <si>
    <t>ORD-00266</t>
  </si>
  <si>
    <t>ORD-00267</t>
  </si>
  <si>
    <t>CUST-0078</t>
  </si>
  <si>
    <t>Eka Putra</t>
  </si>
  <si>
    <t>ORD-00268</t>
  </si>
  <si>
    <t>CUST-0030</t>
  </si>
  <si>
    <t>ORD-00269</t>
  </si>
  <si>
    <t>ORD-00270</t>
  </si>
  <si>
    <t>CUST-0128</t>
  </si>
  <si>
    <t>Hadi Mahendra</t>
  </si>
  <si>
    <t>ORD-00271</t>
  </si>
  <si>
    <t>Nadia Siregar</t>
  </si>
  <si>
    <t>ORD-00272</t>
  </si>
  <si>
    <t>CUST-0068</t>
  </si>
  <si>
    <t>ORD-00273</t>
  </si>
  <si>
    <t>CUST-0025</t>
  </si>
  <si>
    <t>Yoga Santoso</t>
  </si>
  <si>
    <t>ORD-00274</t>
  </si>
  <si>
    <t>ORD-00275</t>
  </si>
  <si>
    <t>ORD-00276</t>
  </si>
  <si>
    <t>CUST-0107</t>
  </si>
  <si>
    <t>Zahra Siregar</t>
  </si>
  <si>
    <t>ORD-00277</t>
  </si>
  <si>
    <t>Dinda Lestari</t>
  </si>
  <si>
    <t>ORD-00278</t>
  </si>
  <si>
    <t>Nadia Mahendra</t>
  </si>
  <si>
    <t>ORD-00279</t>
  </si>
  <si>
    <t>ORD-00280</t>
  </si>
  <si>
    <t>Dewi Wijaya</t>
  </si>
  <si>
    <t>ORD-00281</t>
  </si>
  <si>
    <t>CUST-0067</t>
  </si>
  <si>
    <t>ORD-00282</t>
  </si>
  <si>
    <t>CUST-0115</t>
  </si>
  <si>
    <t>Yoga Nugroho</t>
  </si>
  <si>
    <t>ORD-00283</t>
  </si>
  <si>
    <t>Aldi Ramadhan</t>
  </si>
  <si>
    <t>ORD-00284</t>
  </si>
  <si>
    <t>Maya Nugroho</t>
  </si>
  <si>
    <t>ORD-00285</t>
  </si>
  <si>
    <t>ORD-00286</t>
  </si>
  <si>
    <t>ORD-00287</t>
  </si>
  <si>
    <t>CUST-0114</t>
  </si>
  <si>
    <t>ORD-00288</t>
  </si>
  <si>
    <t>CUST-0210</t>
  </si>
  <si>
    <t>ORD-00289</t>
  </si>
  <si>
    <t>CUST-0064</t>
  </si>
  <si>
    <t>Nabila Siregar</t>
  </si>
  <si>
    <t>ORD-00290</t>
  </si>
  <si>
    <t>Zahra Anggraini</t>
  </si>
  <si>
    <t>ORD-00291</t>
  </si>
  <si>
    <t>ORD-00292</t>
  </si>
  <si>
    <t>CUST-0112</t>
  </si>
  <si>
    <t>Gita Putra</t>
  </si>
  <si>
    <t>ORD-00293</t>
  </si>
  <si>
    <t>Sari Kusuma</t>
  </si>
  <si>
    <t>ORD-00294</t>
  </si>
  <si>
    <t>CUST-0083</t>
  </si>
  <si>
    <t>ORD-00295</t>
  </si>
  <si>
    <t>Farhan Ramadhan</t>
  </si>
  <si>
    <t>ORD-00296</t>
  </si>
  <si>
    <t>ORD-00297</t>
  </si>
  <si>
    <t>ORD-00298</t>
  </si>
  <si>
    <t>CUST-0131</t>
  </si>
  <si>
    <t>ORD-00299</t>
  </si>
  <si>
    <t>ORD-00300</t>
  </si>
  <si>
    <t>Yoga Permata</t>
  </si>
  <si>
    <t>ORD-00301</t>
  </si>
  <si>
    <t>Bima Ramadhan</t>
  </si>
  <si>
    <t>ORD-00302</t>
  </si>
  <si>
    <t>CUST-0229</t>
  </si>
  <si>
    <t>ORD-00303</t>
  </si>
  <si>
    <t>CUST-0218</t>
  </si>
  <si>
    <t>ORD-00304</t>
  </si>
  <si>
    <t>CUST-0092</t>
  </si>
  <si>
    <t>ORD-00305</t>
  </si>
  <si>
    <t>Nabila Mahendra</t>
  </si>
  <si>
    <t>ORD-00306</t>
  </si>
  <si>
    <t>Putri Wijaya</t>
  </si>
  <si>
    <t>ORD-00307</t>
  </si>
  <si>
    <t>CUST-0192</t>
  </si>
  <si>
    <t>Aldi Saputra</t>
  </si>
  <si>
    <t>ORD-00308</t>
  </si>
  <si>
    <t>ORD-00309</t>
  </si>
  <si>
    <t>ORD-00310</t>
  </si>
  <si>
    <t>ORD-00311</t>
  </si>
  <si>
    <t>CUST-0003</t>
  </si>
  <si>
    <t>Kartika Putra</t>
  </si>
  <si>
    <t>ORD-00312</t>
  </si>
  <si>
    <t>ORD-00313</t>
  </si>
  <si>
    <t>ORD-00314</t>
  </si>
  <si>
    <t>ORD-00315</t>
  </si>
  <si>
    <t>CUST-0085</t>
  </si>
  <si>
    <t>ORD-00316</t>
  </si>
  <si>
    <t>ORD-00317</t>
  </si>
  <si>
    <t>CUST-0141</t>
  </si>
  <si>
    <t>ORD-00318</t>
  </si>
  <si>
    <t>Raka Hidayat</t>
  </si>
  <si>
    <t>ORD-00319</t>
  </si>
  <si>
    <t>Gita Wijaya</t>
  </si>
  <si>
    <t>ORD-00320</t>
  </si>
  <si>
    <t>CUST-0108</t>
  </si>
  <si>
    <t>ORD-00321</t>
  </si>
  <si>
    <t>CUST-0133</t>
  </si>
  <si>
    <t>Rian Wijaya</t>
  </si>
  <si>
    <t>ORD-00322</t>
  </si>
  <si>
    <t>Fajar Putra</t>
  </si>
  <si>
    <t>ORD-00323</t>
  </si>
  <si>
    <t>Hadi Hidayat</t>
  </si>
  <si>
    <t>ORD-00324</t>
  </si>
  <si>
    <t>ORD-00325</t>
  </si>
  <si>
    <t>CUST-0190</t>
  </si>
  <si>
    <t>Bayu Pratama</t>
  </si>
  <si>
    <t>ORD-00326</t>
  </si>
  <si>
    <t>ORD-00327</t>
  </si>
  <si>
    <t>CUST-0055</t>
  </si>
  <si>
    <t>Eka Hidayat</t>
  </si>
  <si>
    <t>ORD-00328</t>
  </si>
  <si>
    <t>Fajar Permata</t>
  </si>
  <si>
    <t>ORD-00329</t>
  </si>
  <si>
    <t>ORD-00330</t>
  </si>
  <si>
    <t>CUST-0046</t>
  </si>
  <si>
    <t>Citra Lestari</t>
  </si>
  <si>
    <t>ORD-00331</t>
  </si>
  <si>
    <t>Wulan Kusuma</t>
  </si>
  <si>
    <t>ORD-00332</t>
  </si>
  <si>
    <t>CUST-0081</t>
  </si>
  <si>
    <t>ORD-00333</t>
  </si>
  <si>
    <t>ORD-00334</t>
  </si>
  <si>
    <t>CUST-0151</t>
  </si>
  <si>
    <t>Kartika Santoso</t>
  </si>
  <si>
    <t>ORD-00335</t>
  </si>
  <si>
    <t>Dinda Anggraini</t>
  </si>
  <si>
    <t>ORD-00336</t>
  </si>
  <si>
    <t>ORD-00337</t>
  </si>
  <si>
    <t>Putri Mahendra</t>
  </si>
  <si>
    <t>ORD-00338</t>
  </si>
  <si>
    <t>Yoga Ramadhan</t>
  </si>
  <si>
    <t>ORD-00339</t>
  </si>
  <si>
    <t>CUST-0252</t>
  </si>
  <si>
    <t>Fajar Utami</t>
  </si>
  <si>
    <t>ORD-00340</t>
  </si>
  <si>
    <t>ORD-00341</t>
  </si>
  <si>
    <t>Hadi Lestari</t>
  </si>
  <si>
    <t>ORD-00342</t>
  </si>
  <si>
    <t>ORD-00343</t>
  </si>
  <si>
    <t>ORD-00344</t>
  </si>
  <si>
    <t>Anisa Ramadhan</t>
  </si>
  <si>
    <t>ORD-00345</t>
  </si>
  <si>
    <t>Toni Anggraini</t>
  </si>
  <si>
    <t>ORD-00346</t>
  </si>
  <si>
    <t>CUST-0075</t>
  </si>
  <si>
    <t>ORD-00347</t>
  </si>
  <si>
    <t>ORD-00348</t>
  </si>
  <si>
    <t>ORD-00349</t>
  </si>
  <si>
    <t>ORD-00350</t>
  </si>
  <si>
    <t>CUST-0018</t>
  </si>
  <si>
    <t>ORD-00351</t>
  </si>
  <si>
    <t>ORD-00352</t>
  </si>
  <si>
    <t>ORD-00353</t>
  </si>
  <si>
    <t>ORD-00354</t>
  </si>
  <si>
    <t>ORD-00355</t>
  </si>
  <si>
    <t>ORD-00356</t>
  </si>
  <si>
    <t>ORD-00357</t>
  </si>
  <si>
    <t>Citra Saputra</t>
  </si>
  <si>
    <t>ORD-00358</t>
  </si>
  <si>
    <t>CUST-0127</t>
  </si>
  <si>
    <t>Farhan Pratama</t>
  </si>
  <si>
    <t>ORD-00359</t>
  </si>
  <si>
    <t>Farhan Siregar</t>
  </si>
  <si>
    <t>ORD-00360</t>
  </si>
  <si>
    <t>Aldi Wijaya</t>
  </si>
  <si>
    <t>ORD-00361</t>
  </si>
  <si>
    <t>ORD-00362</t>
  </si>
  <si>
    <t>CUST-0178</t>
  </si>
  <si>
    <t>Rizky Siregar</t>
  </si>
  <si>
    <t>ORD-00363</t>
  </si>
  <si>
    <t>ORD-00364</t>
  </si>
  <si>
    <t>Oki Pratama</t>
  </si>
  <si>
    <t>ORD-00365</t>
  </si>
  <si>
    <t>ORD-00366</t>
  </si>
  <si>
    <t>Fajar Nugroho</t>
  </si>
  <si>
    <t>ORD-00367</t>
  </si>
  <si>
    <t>Hadi Anggraini</t>
  </si>
  <si>
    <t>ORD-00368</t>
  </si>
  <si>
    <t>Anisa Permata</t>
  </si>
  <si>
    <t>ORD-00369</t>
  </si>
  <si>
    <t>CUST-0119</t>
  </si>
  <si>
    <t>Sari Hidayat</t>
  </si>
  <si>
    <t>ORD-00370</t>
  </si>
  <si>
    <t>Yoga Kusuma</t>
  </si>
  <si>
    <t>ORD-00371</t>
  </si>
  <si>
    <t>CUST-0162</t>
  </si>
  <si>
    <t>ORD-00372</t>
  </si>
  <si>
    <t>CUST-0232</t>
  </si>
  <si>
    <t>Oki Hidayat</t>
  </si>
  <si>
    <t>ORD-00373</t>
  </si>
  <si>
    <t>Aldi Utami</t>
  </si>
  <si>
    <t>ORD-00374</t>
  </si>
  <si>
    <t>ORD-00375</t>
  </si>
  <si>
    <t>ORD-00376</t>
  </si>
  <si>
    <t>CUST-0117</t>
  </si>
  <si>
    <t>ORD-00377</t>
  </si>
  <si>
    <t>ORD-00378</t>
  </si>
  <si>
    <t>ORD-00379</t>
  </si>
  <si>
    <t>Hadi Santoso</t>
  </si>
  <si>
    <t>ORD-00380</t>
  </si>
  <si>
    <t>CUST-0013</t>
  </si>
  <si>
    <t>Nabila Lestari</t>
  </si>
  <si>
    <t>ORD-00381</t>
  </si>
  <si>
    <t>Dewi Mahendra</t>
  </si>
  <si>
    <t>ORD-00382</t>
  </si>
  <si>
    <t>Gita Saputra</t>
  </si>
  <si>
    <t>ORD-00383</t>
  </si>
  <si>
    <t>CUST-0023</t>
  </si>
  <si>
    <t>ORD-00384</t>
  </si>
  <si>
    <t>CUST-0185</t>
  </si>
  <si>
    <t>ORD-00385</t>
  </si>
  <si>
    <t>Raka Kusuma</t>
  </si>
  <si>
    <t>ORD-00386</t>
  </si>
  <si>
    <t>CUST-0257</t>
  </si>
  <si>
    <t>ORD-00387</t>
  </si>
  <si>
    <t>CUST-0196</t>
  </si>
  <si>
    <t>ORD-00388</t>
  </si>
  <si>
    <t>CUST-0104</t>
  </si>
  <si>
    <t>ORD-00389</t>
  </si>
  <si>
    <t>ORD-00390</t>
  </si>
  <si>
    <t>ORD-00391</t>
  </si>
  <si>
    <t>CUST-0245</t>
  </si>
  <si>
    <t>ORD-00392</t>
  </si>
  <si>
    <t>CUST-0139</t>
  </si>
  <si>
    <t>Nadia Putra</t>
  </si>
  <si>
    <t>ORD-00393</t>
  </si>
  <si>
    <t>ORD-00394</t>
  </si>
  <si>
    <t>ORD-00395</t>
  </si>
  <si>
    <t>Vina Siregar</t>
  </si>
  <si>
    <t>ORD-00396</t>
  </si>
  <si>
    <t>ORD-00397</t>
  </si>
  <si>
    <t>ORD-00398</t>
  </si>
  <si>
    <t>Bima Utami</t>
  </si>
  <si>
    <t>ORD-00399</t>
  </si>
  <si>
    <t>ORD-00400</t>
  </si>
  <si>
    <t>ORD-00401</t>
  </si>
  <si>
    <t>ORD-00402</t>
  </si>
  <si>
    <t>ORD-00403</t>
  </si>
  <si>
    <t>ORD-00404</t>
  </si>
  <si>
    <t>ORD-00405</t>
  </si>
  <si>
    <t>Putri Utami</t>
  </si>
  <si>
    <t>ORD-00406</t>
  </si>
  <si>
    <t>ORD-00407</t>
  </si>
  <si>
    <t>CUST-0166</t>
  </si>
  <si>
    <t>Nabila Pratama</t>
  </si>
  <si>
    <t>ORD-00408</t>
  </si>
  <si>
    <t>Rian Kusuma</t>
  </si>
  <si>
    <t>ORD-00409</t>
  </si>
  <si>
    <t>CUST-0154</t>
  </si>
  <si>
    <t>Toni Mahendra</t>
  </si>
  <si>
    <t>ORD-00410</t>
  </si>
  <si>
    <t>CUST-0193</t>
  </si>
  <si>
    <t>ORD-00411</t>
  </si>
  <si>
    <t>ORD-00412</t>
  </si>
  <si>
    <t>ORD-00413</t>
  </si>
  <si>
    <t>ORD-00414</t>
  </si>
  <si>
    <t>Dewi Saputra</t>
  </si>
  <si>
    <t>ORD-00415</t>
  </si>
  <si>
    <t>ORD-00416</t>
  </si>
  <si>
    <t>CUST-0088</t>
  </si>
  <si>
    <t>ORD-00417</t>
  </si>
  <si>
    <t>Vina Permata</t>
  </si>
  <si>
    <t>ORD-00418</t>
  </si>
  <si>
    <t>ORD-00419</t>
  </si>
  <si>
    <t>Dewi Permata</t>
  </si>
  <si>
    <t>ORD-00420</t>
  </si>
  <si>
    <t>ORD-00421</t>
  </si>
  <si>
    <t>Rizky Hidayat</t>
  </si>
  <si>
    <t>ORD-00422</t>
  </si>
  <si>
    <t>Fajar Lestari</t>
  </si>
  <si>
    <t>ORD-00423</t>
  </si>
  <si>
    <t>CUST-0072</t>
  </si>
  <si>
    <t>ORD-00424</t>
  </si>
  <si>
    <t>Toni Utami</t>
  </si>
  <si>
    <t>ORD-00425</t>
  </si>
  <si>
    <t>ORD-00426</t>
  </si>
  <si>
    <t>Yoga Wijaya</t>
  </si>
  <si>
    <t>ORD-00427</t>
  </si>
  <si>
    <t>CUST-0009</t>
  </si>
  <si>
    <t>Eka Mahendra</t>
  </si>
  <si>
    <t>ORD-00428</t>
  </si>
  <si>
    <t>ORD-00429</t>
  </si>
  <si>
    <t>ORD-00430</t>
  </si>
  <si>
    <t>ORD-00431</t>
  </si>
  <si>
    <t>Sari Utami</t>
  </si>
  <si>
    <t>ORD-00432</t>
  </si>
  <si>
    <t>ORD-00433</t>
  </si>
  <si>
    <t>ORD-00434</t>
  </si>
  <si>
    <t>Lina Utami</t>
  </si>
  <si>
    <t>ORD-00435</t>
  </si>
  <si>
    <t>ORD-00436</t>
  </si>
  <si>
    <t>CUST-0060</t>
  </si>
  <si>
    <t>ORD-00437</t>
  </si>
  <si>
    <t>CUST-0230</t>
  </si>
  <si>
    <t>Maya Ramadhan</t>
  </si>
  <si>
    <t>ORD-00438</t>
  </si>
  <si>
    <t>Indra Lestari</t>
  </si>
  <si>
    <t>ORD-00439</t>
  </si>
  <si>
    <t>ORD-00440</t>
  </si>
  <si>
    <t>Aldi Anggraini</t>
  </si>
  <si>
    <t>ORD-00441</t>
  </si>
  <si>
    <t>CUST-0095</t>
  </si>
  <si>
    <t>Dinda Santoso</t>
  </si>
  <si>
    <t>ORD-00442</t>
  </si>
  <si>
    <t>CUST-0132</t>
  </si>
  <si>
    <t>ORD-00443</t>
  </si>
  <si>
    <t>CUST-0103</t>
  </si>
  <si>
    <t>ORD-00444</t>
  </si>
  <si>
    <t>ORD-00445</t>
  </si>
  <si>
    <t>Toni Pratama</t>
  </si>
  <si>
    <t>ORD-00446</t>
  </si>
  <si>
    <t>Dewi Anggraini</t>
  </si>
  <si>
    <t>ORD-00447</t>
  </si>
  <si>
    <t>ORD-00448</t>
  </si>
  <si>
    <t>Farhan Putra</t>
  </si>
  <si>
    <t>ORD-00449</t>
  </si>
  <si>
    <t>Bima Permata</t>
  </si>
  <si>
    <t>ORD-00450</t>
  </si>
  <si>
    <t>Rian Santoso</t>
  </si>
  <si>
    <t>ORD-00451</t>
  </si>
  <si>
    <t>ORD-00452</t>
  </si>
  <si>
    <t>Nadia Permata</t>
  </si>
  <si>
    <t>ORD-00453</t>
  </si>
  <si>
    <t>CUST-0073</t>
  </si>
  <si>
    <t>ORD-00454</t>
  </si>
  <si>
    <t>Aldi Siregar</t>
  </si>
  <si>
    <t>ORD-00455</t>
  </si>
  <si>
    <t>ORD-00456</t>
  </si>
  <si>
    <t>ORD-00457</t>
  </si>
  <si>
    <t>Indra Pratama</t>
  </si>
  <si>
    <t>ORD-00458</t>
  </si>
  <si>
    <t>CUST-0233</t>
  </si>
  <si>
    <t>Bima Santoso</t>
  </si>
  <si>
    <t>ORD-00459</t>
  </si>
  <si>
    <t>ORD-00460</t>
  </si>
  <si>
    <t>Bima Siregar</t>
  </si>
  <si>
    <t>ORD-00461</t>
  </si>
  <si>
    <t>Eka Pratama</t>
  </si>
  <si>
    <t>ORD-00462</t>
  </si>
  <si>
    <t>Toni Saputra</t>
  </si>
  <si>
    <t>ORD-00463</t>
  </si>
  <si>
    <t>ORD-00464</t>
  </si>
  <si>
    <t>ORD-00465</t>
  </si>
  <si>
    <t>Lina Lestari</t>
  </si>
  <si>
    <t>ORD-00466</t>
  </si>
  <si>
    <t>ORD-00467</t>
  </si>
  <si>
    <t>ORD-00468</t>
  </si>
  <si>
    <t>Dewi Hidayat</t>
  </si>
  <si>
    <t>ORD-00469</t>
  </si>
  <si>
    <t>ORD-00470</t>
  </si>
  <si>
    <t>ORD-00471</t>
  </si>
  <si>
    <t>Joko Santoso</t>
  </si>
  <si>
    <t>ORD-00472</t>
  </si>
  <si>
    <t>Putri Permata</t>
  </si>
  <si>
    <t>ORD-00473</t>
  </si>
  <si>
    <t>CUST-0211</t>
  </si>
  <si>
    <t>ORD-00474</t>
  </si>
  <si>
    <t>Hadi Kusuma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</si>
  <si>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</si>
  <si>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</si>
  <si>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</si>
  <si>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</si>
  <si>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</si>
  <si>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</si>
  <si>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</si>
  <si>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</si>
  <si>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</si>
  <si>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Joko Saputra</t>
  </si>
  <si>
    <t>ORD-00484</t>
  </si>
  <si>
    <t>ORD-00485</t>
  </si>
  <si>
    <t>ORD-00486</t>
  </si>
  <si>
    <t>ORD-00487</t>
  </si>
  <si>
    <t>Nabila Santoso</t>
  </si>
  <si>
    <t>ORD-00488</t>
  </si>
  <si>
    <t>ORD-00489</t>
  </si>
  <si>
    <t>ORD-00490</t>
  </si>
  <si>
    <t>Fajar Mahendra</t>
  </si>
  <si>
    <t>ORD-00491</t>
  </si>
  <si>
    <t>ORD-00492</t>
  </si>
  <si>
    <t>CUST-0130</t>
  </si>
  <si>
    <t>ORD-00493</t>
  </si>
  <si>
    <t>Bayu Mahendra</t>
  </si>
  <si>
    <t>ORD-00494</t>
  </si>
  <si>
    <t>Zahra Putra</t>
  </si>
  <si>
    <t>ORD-00495</t>
  </si>
  <si>
    <t>ORD-00496</t>
  </si>
  <si>
    <t>CUST-0148</t>
  </si>
  <si>
    <t>ORD-00497</t>
  </si>
  <si>
    <t>Gita Nugroho</t>
  </si>
  <si>
    <t>ORD-00498</t>
  </si>
  <si>
    <t>ORD-00499</t>
  </si>
  <si>
    <t>ORD-00500</t>
  </si>
  <si>
    <t>ORD-00501</t>
  </si>
  <si>
    <t>CUST-0168</t>
  </si>
  <si>
    <t>Eka Lestari</t>
  </si>
  <si>
    <t>ORD-00502</t>
  </si>
  <si>
    <t>CUST-0010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</si>
  <si>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</si>
  <si>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</si>
  <si>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</si>
  <si>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</si>
  <si>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</si>
  <si>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</si>
  <si>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</si>
  <si>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</si>
  <si>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</si>
  <si>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</si>
  <si>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</si>
  <si>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CUST-0105</t>
  </si>
  <si>
    <t>Bayu Hidayat</t>
  </si>
  <si>
    <t>ORD-00514</t>
  </si>
  <si>
    <t>CUST-0159</t>
  </si>
  <si>
    <t>ORD-00515</t>
  </si>
  <si>
    <t>ORD-00516</t>
  </si>
  <si>
    <t>ORD-00517</t>
  </si>
  <si>
    <t>ORD-00518</t>
  </si>
  <si>
    <t>ORD-00519</t>
  </si>
  <si>
    <t>Anisa Lestari</t>
  </si>
  <si>
    <t>ORD-00520</t>
  </si>
  <si>
    <t>ORD-00521</t>
  </si>
  <si>
    <t>ORD-00522</t>
  </si>
  <si>
    <t>CUST-0171</t>
  </si>
  <si>
    <t>ORD-00523</t>
  </si>
  <si>
    <t>CUST-0015</t>
  </si>
  <si>
    <t>ORD-00524</t>
  </si>
  <si>
    <t>ORD-00525</t>
  </si>
  <si>
    <t>ORD-00526</t>
  </si>
  <si>
    <t>Gita Lestari</t>
  </si>
  <si>
    <t>ORD-00527</t>
  </si>
  <si>
    <t>ORD-00528</t>
  </si>
  <si>
    <t>ORD-00529</t>
  </si>
  <si>
    <t>Rian Putra</t>
  </si>
  <si>
    <t>ORD-00530</t>
  </si>
  <si>
    <t>ORD-00531</t>
  </si>
  <si>
    <t>ORD-00532</t>
  </si>
  <si>
    <t>CUST-0240</t>
  </si>
  <si>
    <t>ORD-00533</t>
  </si>
  <si>
    <t>Rian Hidayat</t>
  </si>
  <si>
    <t>ORD-00534</t>
  </si>
  <si>
    <t>CUST-0226</t>
  </si>
  <si>
    <t>ORD-00535</t>
  </si>
  <si>
    <t>Zahra Saputra</t>
  </si>
  <si>
    <t>ORD-00536</t>
  </si>
  <si>
    <t>ORD-00537</t>
  </si>
  <si>
    <t>CUST-0169</t>
  </si>
  <si>
    <t>ORD-00538</t>
  </si>
  <si>
    <t>ORD-00539</t>
  </si>
  <si>
    <t>Farhan Santoso</t>
  </si>
  <si>
    <t>ORD-00540</t>
  </si>
  <si>
    <t>Wulan Utami</t>
  </si>
  <si>
    <t>ORD-00541</t>
  </si>
  <si>
    <t>Dinda Hidayat</t>
  </si>
  <si>
    <t>ORD-00542</t>
  </si>
  <si>
    <t>Oki Ramadhan</t>
  </si>
  <si>
    <t>ORD-00543</t>
  </si>
  <si>
    <t>ORD-00544</t>
  </si>
  <si>
    <t>Yoga Mahendra</t>
  </si>
  <si>
    <t>ORD-00545</t>
  </si>
  <si>
    <t>ORD-00546</t>
  </si>
  <si>
    <t>ORD-00547</t>
  </si>
  <si>
    <t>CUST-0250</t>
  </si>
  <si>
    <t>ORD-00548</t>
  </si>
  <si>
    <t>Gita Kusuma</t>
  </si>
  <si>
    <t>ORD-00549</t>
  </si>
  <si>
    <t>ORD-00550</t>
  </si>
  <si>
    <t>Bayu Kusuma</t>
  </si>
  <si>
    <t>ORD-00551</t>
  </si>
  <si>
    <t>ORD-00552</t>
  </si>
  <si>
    <t>ORD-00553</t>
  </si>
  <si>
    <t>Rizky Nugroho</t>
  </si>
  <si>
    <t>ORD-00554</t>
  </si>
  <si>
    <t>Joko Putra</t>
  </si>
  <si>
    <t>ORD-00555</t>
  </si>
  <si>
    <t>ORD-00556</t>
  </si>
  <si>
    <t>ORD-00557</t>
  </si>
  <si>
    <t>ORD-00558</t>
  </si>
  <si>
    <t>ORD-00559</t>
  </si>
  <si>
    <t>CUST-0147</t>
  </si>
  <si>
    <t>ORD-00560</t>
  </si>
  <si>
    <t>ORD-00561</t>
  </si>
  <si>
    <t>ORD-00562</t>
  </si>
  <si>
    <t>ORD-00563</t>
  </si>
  <si>
    <t>ORD-00564</t>
  </si>
  <si>
    <t>ORD-00565</t>
  </si>
  <si>
    <t>CUST-0057</t>
  </si>
  <si>
    <t>ORD-00566</t>
  </si>
  <si>
    <t>ORD-00567</t>
  </si>
  <si>
    <t>CUST-0099</t>
  </si>
  <si>
    <t>ORD-00568</t>
  </si>
  <si>
    <t>ORD-00569</t>
  </si>
  <si>
    <t>CUST-0214</t>
  </si>
  <si>
    <t>Anisa Wijaya</t>
  </si>
  <si>
    <t>ORD-00570</t>
  </si>
  <si>
    <t>ORD-00571</t>
  </si>
  <si>
    <t>ORD-00572</t>
  </si>
  <si>
    <t>ORD-00573</t>
  </si>
  <si>
    <t>ORD-00574</t>
  </si>
  <si>
    <t>ORD-00575</t>
  </si>
  <si>
    <t>ORD-00576</t>
  </si>
  <si>
    <t>Bayu Siregar</t>
  </si>
  <si>
    <t>ORD-00577</t>
  </si>
  <si>
    <t>ORD-00578</t>
  </si>
  <si>
    <t>CUST-0200</t>
  </si>
  <si>
    <t>ORD-00579</t>
  </si>
  <si>
    <t>ORD-00580</t>
  </si>
  <si>
    <t>Hadi Utami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</si>
  <si>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</si>
  <si>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</si>
  <si>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</si>
  <si>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</si>
  <si>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</si>
  <si>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</si>
  <si>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</si>
  <si>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</si>
  <si>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</si>
  <si>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Zahra Ramadhan</t>
  </si>
  <si>
    <t>ORD-00590</t>
  </si>
  <si>
    <t>Yoga Saputra</t>
  </si>
  <si>
    <t>ORD-00591</t>
  </si>
  <si>
    <t>ORD-00592</t>
  </si>
  <si>
    <t>ORD-00593</t>
  </si>
  <si>
    <t>Toni Santoso</t>
  </si>
  <si>
    <t>ORD-00594</t>
  </si>
  <si>
    <t>CUST-0222</t>
  </si>
  <si>
    <t>ORD-00595</t>
  </si>
  <si>
    <t>ORD-00596</t>
  </si>
  <si>
    <t>ORD-00597</t>
  </si>
  <si>
    <t>ORD-00598</t>
  </si>
  <si>
    <t>ORD-00599</t>
  </si>
  <si>
    <t>ORD-00600</t>
  </si>
  <si>
    <t>ORD-00601</t>
  </si>
  <si>
    <t>Lina Pratama</t>
  </si>
  <si>
    <t>ORD-00602</t>
  </si>
  <si>
    <t>ORD-00603</t>
  </si>
  <si>
    <t>CUST-0011</t>
  </si>
  <si>
    <t>ORD-00604</t>
  </si>
  <si>
    <t>Dinda Mahendra</t>
  </si>
  <si>
    <t>ORD-00605</t>
  </si>
  <si>
    <t>Nabila Anggraini</t>
  </si>
  <si>
    <t>ORD-00606</t>
  </si>
  <si>
    <t>ORD-00607</t>
  </si>
  <si>
    <t>ORD-00608</t>
  </si>
  <si>
    <t>ORD-00609</t>
  </si>
  <si>
    <t>ORD-00610</t>
  </si>
  <si>
    <t>Lina Siregar</t>
  </si>
  <si>
    <t>ORD-00611</t>
  </si>
  <si>
    <t>ORD-00612</t>
  </si>
  <si>
    <t>Anisa Anggraini</t>
  </si>
  <si>
    <t>ORD-00613</t>
  </si>
  <si>
    <t>Kartika Utami</t>
  </si>
  <si>
    <t>ORD-00614</t>
  </si>
  <si>
    <t>ORD-00615</t>
  </si>
  <si>
    <t>ORD-00616</t>
  </si>
  <si>
    <t>CUST-0097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</si>
  <si>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</si>
  <si>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</si>
  <si>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</si>
  <si>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</si>
  <si>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</si>
  <si>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</si>
  <si>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</si>
  <si>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</si>
  <si>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CUST-0006</t>
  </si>
  <si>
    <t>ORD-00625</t>
  </si>
  <si>
    <t>CUST-0143</t>
  </si>
  <si>
    <t>ORD-00626</t>
  </si>
  <si>
    <t>ORD-00627</t>
  </si>
  <si>
    <t>ORD-00628</t>
  </si>
  <si>
    <t>ORD-00629</t>
  </si>
  <si>
    <t>ORD-00630</t>
  </si>
  <si>
    <t>Wulan Anggraini</t>
  </si>
  <si>
    <t>ORD-00631</t>
  </si>
  <si>
    <t>ORD-00632</t>
  </si>
  <si>
    <t>ORD-00633</t>
  </si>
  <si>
    <t>Eka Permata</t>
  </si>
  <si>
    <t>ORD-00634</t>
  </si>
  <si>
    <t>ORD-00635</t>
  </si>
  <si>
    <t>CUST-0170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</si>
  <si>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</si>
  <si>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</si>
  <si>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</si>
  <si>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</si>
  <si>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</si>
  <si>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</si>
  <si>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</si>
  <si>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</si>
  <si>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</si>
  <si>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</si>
  <si>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</si>
  <si>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</si>
  <si>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</si>
  <si>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</si>
  <si>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Yoga Anggraini</t>
  </si>
  <si>
    <t>ORD-00650</t>
  </si>
  <si>
    <t>ORD-00651</t>
  </si>
  <si>
    <t>Farhan Nugroho</t>
  </si>
  <si>
    <t>ORD-00652</t>
  </si>
  <si>
    <t>ORD-00653</t>
  </si>
  <si>
    <t>Maya Mahendra</t>
  </si>
  <si>
    <t>ORD-00654</t>
  </si>
  <si>
    <t>ORD-00655</t>
  </si>
  <si>
    <t>ORD-00656</t>
  </si>
  <si>
    <t>Rian Saputra</t>
  </si>
  <si>
    <t>ORD-00657</t>
  </si>
  <si>
    <t>ORD-00658</t>
  </si>
  <si>
    <t>ORD-00659</t>
  </si>
  <si>
    <t>Nabila Permata</t>
  </si>
  <si>
    <t>ORD-00660</t>
  </si>
  <si>
    <t>CUST-0234</t>
  </si>
  <si>
    <t>ORD-00661</t>
  </si>
  <si>
    <t>Putri Lestari</t>
  </si>
  <si>
    <t>ORD-00662</t>
  </si>
  <si>
    <t>ORD-00663</t>
  </si>
  <si>
    <t>ORD-00664</t>
  </si>
  <si>
    <t>ORD-00665</t>
  </si>
  <si>
    <t>Yoga Utami</t>
  </si>
  <si>
    <t>ORD-00666</t>
  </si>
  <si>
    <t>CUST-0174</t>
  </si>
  <si>
    <t>ORD-00667</t>
  </si>
  <si>
    <t>ORD-00668</t>
  </si>
  <si>
    <t>ORD-00669</t>
  </si>
  <si>
    <t>Citra Mahendra</t>
  </si>
  <si>
    <t>ORD-00670</t>
  </si>
  <si>
    <t>Nabila Utami</t>
  </si>
  <si>
    <t>ORD-00671</t>
  </si>
  <si>
    <t>Wulan Wijaya</t>
  </si>
  <si>
    <t>ORD-00672</t>
  </si>
  <si>
    <t>ORD-00673</t>
  </si>
  <si>
    <t>ORD-00674</t>
  </si>
  <si>
    <t>ORD-00675</t>
  </si>
  <si>
    <t>Sari Putra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</si>
  <si>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</si>
  <si>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</si>
  <si>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</si>
  <si>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</si>
  <si>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</si>
  <si>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</si>
  <si>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</si>
  <si>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</si>
  <si>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</si>
  <si>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</si>
  <si>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</si>
  <si>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</si>
  <si>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</si>
  <si>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</si>
  <si>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</si>
  <si>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</si>
  <si>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</si>
  <si>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</si>
  <si>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Bayu Lestari</t>
  </si>
  <si>
    <t>ORD-00694</t>
  </si>
  <si>
    <t>ORD-00695</t>
  </si>
  <si>
    <t>ORD-00696</t>
  </si>
  <si>
    <t>Fajar Pratama</t>
  </si>
  <si>
    <t>ORD-00697</t>
  </si>
  <si>
    <t>CUST-0187</t>
  </si>
  <si>
    <t>ORD-00698</t>
  </si>
  <si>
    <t>CUST-0142</t>
  </si>
  <si>
    <t>ORD-00699</t>
  </si>
  <si>
    <t>Joko Mahendra</t>
  </si>
  <si>
    <t>ORD-00700</t>
  </si>
  <si>
    <t>ORD-00701</t>
  </si>
  <si>
    <t>ORD-00702</t>
  </si>
  <si>
    <t>ORD-00703</t>
  </si>
  <si>
    <t>Zahra Lestari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</si>
  <si>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</si>
  <si>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</si>
  <si>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</si>
  <si>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</si>
  <si>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</si>
  <si>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</si>
  <si>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</si>
  <si>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</si>
  <si>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</si>
  <si>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</si>
  <si>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</si>
  <si>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</si>
  <si>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</si>
  <si>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CUST-0076</t>
  </si>
  <si>
    <t>ORD-00717</t>
  </si>
  <si>
    <t>ORD-00718</t>
  </si>
  <si>
    <t>Sari Saputra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</si>
  <si>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</si>
  <si>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</si>
  <si>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</si>
  <si>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</si>
  <si>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</si>
  <si>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</si>
  <si>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</si>
  <si>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</si>
  <si>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Aldi Putra</t>
  </si>
  <si>
    <t>ORD-00727</t>
  </si>
  <si>
    <t>ORD-00728</t>
  </si>
  <si>
    <t>ORD-00729</t>
  </si>
  <si>
    <t>ORD-00730</t>
  </si>
  <si>
    <t>ORD-00731</t>
  </si>
  <si>
    <t>CUST-0199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</si>
  <si>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</si>
  <si>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</si>
  <si>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</si>
  <si>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</si>
  <si>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</si>
  <si>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</si>
  <si>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</si>
  <si>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</si>
  <si>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Nabila Ramadhan</t>
  </si>
  <si>
    <t>ORD-00740</t>
  </si>
  <si>
    <t>ORD-00741</t>
  </si>
  <si>
    <t>ORD-00742</t>
  </si>
  <si>
    <t>ORD-00743</t>
  </si>
  <si>
    <t>ORD-00744</t>
  </si>
  <si>
    <t>ORD-00745</t>
  </si>
  <si>
    <t>ORD-00746</t>
  </si>
  <si>
    <t>Joko Nugroho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</si>
  <si>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</si>
  <si>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</si>
  <si>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</si>
  <si>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</si>
  <si>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</si>
  <si>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</si>
  <si>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</si>
  <si>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</si>
  <si>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</si>
  <si>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</si>
  <si>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</si>
  <si>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</si>
  <si>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</si>
  <si>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</si>
  <si>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</si>
  <si>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Maya Pratama</t>
  </si>
  <si>
    <t>ORD-00762</t>
  </si>
  <si>
    <t>Kartika Mahendra</t>
  </si>
  <si>
    <t>ORD-00763</t>
  </si>
  <si>
    <t>ORD-00764</t>
  </si>
  <si>
    <t>ORD-00765</t>
  </si>
  <si>
    <t>Joko Wijaya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</si>
  <si>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</si>
  <si>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</si>
  <si>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</si>
  <si>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</si>
  <si>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</si>
  <si>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</si>
  <si>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</si>
  <si>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</si>
  <si>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</si>
  <si>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</si>
  <si>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</si>
  <si>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</si>
  <si>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</si>
  <si>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Fajar Saputra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</si>
  <si>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</si>
  <si>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</si>
  <si>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</si>
  <si>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</si>
  <si>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</si>
  <si>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</si>
  <si>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</si>
  <si>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</si>
  <si>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</si>
  <si>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</si>
  <si>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</si>
  <si>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</si>
  <si>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</si>
  <si>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</si>
  <si>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</si>
  <si>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</si>
  <si>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</si>
  <si>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</si>
  <si>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</si>
  <si>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</si>
  <si>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Lina Ramadhan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</si>
  <si>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</si>
  <si>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</si>
  <si>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</si>
  <si>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</si>
  <si>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</si>
  <si>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</si>
  <si>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</si>
  <si>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</si>
  <si>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</si>
  <si>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</si>
  <si>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</si>
  <si>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Bayu Saputra</t>
  </si>
  <si>
    <t>ORD-00810</t>
  </si>
  <si>
    <t>ORD-00811</t>
  </si>
  <si>
    <t>ORD-00812</t>
  </si>
  <si>
    <t>CUST-0054</t>
  </si>
  <si>
    <t>ORD-00813</t>
  </si>
  <si>
    <t>ORD-00814</t>
  </si>
  <si>
    <t>ORD-00815</t>
  </si>
  <si>
    <t>Rizky Pratama</t>
  </si>
  <si>
    <t>ORD-00816</t>
  </si>
  <si>
    <t>CUST-0150</t>
  </si>
  <si>
    <t>ORD-00817</t>
  </si>
  <si>
    <t>Oki Mahendra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</si>
  <si>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</si>
  <si>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</si>
  <si>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</si>
  <si>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</si>
  <si>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</si>
  <si>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</si>
  <si>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</si>
  <si>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</si>
  <si>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</si>
  <si>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</si>
  <si>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</si>
  <si>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</si>
  <si>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</si>
  <si>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</si>
  <si>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</si>
  <si>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</si>
  <si>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</si>
  <si>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</si>
  <si>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Toni Kusuma</t>
  </si>
  <si>
    <t>ORD-00836</t>
  </si>
  <si>
    <t>ORD-00837</t>
  </si>
  <si>
    <t>ORD-00838</t>
  </si>
  <si>
    <t>Joko Utami</t>
  </si>
  <si>
    <t>ORD-00839</t>
  </si>
  <si>
    <t>ORD-00840</t>
  </si>
  <si>
    <t>CUST-0219</t>
  </si>
  <si>
    <t>ORD-00841</t>
  </si>
  <si>
    <t>ORD-00842</t>
  </si>
  <si>
    <t>ORD-00843</t>
  </si>
  <si>
    <t>ORD-00844</t>
  </si>
  <si>
    <t>ORD-00845</t>
  </si>
  <si>
    <t>ORD-00846</t>
  </si>
  <si>
    <t>CUST-0019</t>
  </si>
  <si>
    <t>ORD-00847</t>
  </si>
  <si>
    <t>Gita Ramadhan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</si>
  <si>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</si>
  <si>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</si>
  <si>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</si>
  <si>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</si>
  <si>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</si>
  <si>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</si>
  <si>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</si>
  <si>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</si>
  <si>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CUST-0007</t>
  </si>
  <si>
    <t>ORD-00856</t>
  </si>
  <si>
    <t>ORD-00857</t>
  </si>
  <si>
    <t>Aldi Pratama</t>
  </si>
  <si>
    <t>ORD-00858</t>
  </si>
  <si>
    <t>CUST-0235</t>
  </si>
  <si>
    <t>ORD-00859</t>
  </si>
  <si>
    <t>ORD-00860</t>
  </si>
  <si>
    <t>Putri Anggraini</t>
  </si>
  <si>
    <t>ORD-00861</t>
  </si>
  <si>
    <t>Vina Nugroho</t>
  </si>
  <si>
    <t>ORD-00862</t>
  </si>
  <si>
    <t>ORD-00863</t>
  </si>
  <si>
    <t>ORD-00864</t>
  </si>
  <si>
    <t>ORD-00865</t>
  </si>
  <si>
    <t>ORD-00866</t>
  </si>
  <si>
    <t>ORD-00867</t>
  </si>
  <si>
    <t>ORD-00868</t>
  </si>
  <si>
    <t>Wulan Pratama</t>
  </si>
  <si>
    <t>ORD-00869</t>
  </si>
  <si>
    <t>Citra Anggraini</t>
  </si>
  <si>
    <t>ORD-00870</t>
  </si>
  <si>
    <t>ORD-00871</t>
  </si>
  <si>
    <t>ORD-00872</t>
  </si>
  <si>
    <t>ORD-00873</t>
  </si>
  <si>
    <t>ORD-00874</t>
  </si>
  <si>
    <t>ORD-00875</t>
  </si>
  <si>
    <t>Raka Siregar</t>
  </si>
  <si>
    <t>ORD-00876</t>
  </si>
  <si>
    <t>ORD-00877</t>
  </si>
  <si>
    <t>ORD-00878</t>
  </si>
  <si>
    <t>CUST-0087</t>
  </si>
  <si>
    <t>ORD-00879</t>
  </si>
  <si>
    <t>ORD-00880</t>
  </si>
  <si>
    <t>ORD-00881</t>
  </si>
  <si>
    <t>ORD-00882</t>
  </si>
  <si>
    <t>ORD-00883</t>
  </si>
  <si>
    <t>Lina Anggraini</t>
  </si>
  <si>
    <t>ORD-00884</t>
  </si>
  <si>
    <t>ORD-00885</t>
  </si>
  <si>
    <t>CUST-0096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</si>
  <si>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</si>
  <si>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</si>
  <si>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</si>
  <si>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</si>
  <si>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</si>
  <si>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</si>
  <si>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</si>
  <si>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</si>
  <si>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</si>
  <si>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</si>
  <si>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</si>
  <si>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</si>
  <si>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</si>
  <si>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</si>
  <si>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</si>
  <si>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</si>
  <si>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</si>
  <si>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</si>
  <si>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Dewi Utami</t>
  </si>
  <si>
    <t>ORD-00904</t>
  </si>
  <si>
    <t>Indra Mahendra</t>
  </si>
  <si>
    <t>ORD-00905</t>
  </si>
  <si>
    <t>ORD-00906</t>
  </si>
  <si>
    <t>ORD-00907</t>
  </si>
  <si>
    <t>ORD-00908</t>
  </si>
  <si>
    <t>ORD-00909</t>
  </si>
  <si>
    <t>ORD-00910</t>
  </si>
  <si>
    <t>ORD-00911</t>
  </si>
  <si>
    <t>Raka Saputra</t>
  </si>
  <si>
    <t>ORD-00912</t>
  </si>
  <si>
    <t>ORD-00913</t>
  </si>
  <si>
    <t>Vina Anggraini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</si>
  <si>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</si>
  <si>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</si>
  <si>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</si>
  <si>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</si>
  <si>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</si>
  <si>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</si>
  <si>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</si>
  <si>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</si>
  <si>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</si>
  <si>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</si>
  <si>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</si>
  <si>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</si>
  <si>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</si>
  <si>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</si>
  <si>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</si>
  <si>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</si>
  <si>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</si>
  <si>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</si>
  <si>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</si>
  <si>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</si>
  <si>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</si>
  <si>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</si>
  <si>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</si>
  <si>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</si>
  <si>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</si>
  <si>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</si>
  <si>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</si>
  <si>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</si>
  <si>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Bayu Permata</t>
  </si>
  <si>
    <t>ORD-00942</t>
  </si>
  <si>
    <t>ORD-00943</t>
  </si>
  <si>
    <t>ORD-00944</t>
  </si>
  <si>
    <t>Rizky Saputra</t>
  </si>
  <si>
    <t>ORD-00945</t>
  </si>
  <si>
    <t>Wulan Permata</t>
  </si>
  <si>
    <t>ORD-00946</t>
  </si>
  <si>
    <t>ORD-00947</t>
  </si>
  <si>
    <t>Dinda Siregar</t>
  </si>
  <si>
    <t>ORD-00948</t>
  </si>
  <si>
    <t>ORD-00949</t>
  </si>
  <si>
    <t>Dewi Nugroho</t>
  </si>
  <si>
    <t>ORD-00950</t>
  </si>
  <si>
    <t>Citra Wijaya</t>
  </si>
  <si>
    <t>ORD-00951</t>
  </si>
  <si>
    <t>ORD-00952</t>
  </si>
  <si>
    <t>Lina Permata</t>
  </si>
  <si>
    <t>ORD-00953</t>
  </si>
  <si>
    <t>ORD-00954</t>
  </si>
  <si>
    <t>ORD-00955</t>
  </si>
  <si>
    <t>ORD-00956</t>
  </si>
  <si>
    <t>Bima Mahendra</t>
  </si>
  <si>
    <t>ORD-00957</t>
  </si>
  <si>
    <t>ORD-00958</t>
  </si>
  <si>
    <t>ORD-00959</t>
  </si>
  <si>
    <t>Joko Siregar</t>
  </si>
  <si>
    <t>ORD-00960</t>
  </si>
  <si>
    <t>ORD-00961</t>
  </si>
  <si>
    <t>CUST-0122</t>
  </si>
  <si>
    <t>ORD-00962</t>
  </si>
  <si>
    <t>Farhan Lestari</t>
  </si>
  <si>
    <t>ORD-00963</t>
  </si>
  <si>
    <t>ORD-00964</t>
  </si>
  <si>
    <t>ORD-00965</t>
  </si>
  <si>
    <t>Raka Anggraini</t>
  </si>
  <si>
    <t>ORD-00966</t>
  </si>
  <si>
    <t>ORD-00967</t>
  </si>
  <si>
    <t>Maya Siregar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</si>
  <si>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</si>
  <si>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</si>
  <si>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</si>
  <si>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</si>
  <si>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</si>
  <si>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</si>
  <si>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</si>
  <si>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</si>
  <si>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</si>
  <si>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</si>
  <si>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</si>
  <si>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</si>
  <si>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</si>
  <si>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</si>
  <si>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</si>
  <si>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</si>
  <si>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Hadi Siregar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</si>
  <si>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</si>
  <si>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</si>
  <si>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</si>
  <si>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</si>
  <si>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</si>
  <si>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</si>
  <si>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</si>
  <si>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</si>
  <si>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</si>
  <si>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Maya Putra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</si>
  <si>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</si>
  <si>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</si>
  <si>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</si>
  <si>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</si>
  <si>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</si>
  <si>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</si>
  <si>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</si>
  <si>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</si>
  <si>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order_month</t>
  </si>
  <si>
    <t>shipping_days</t>
  </si>
  <si>
    <t>profit_margins</t>
  </si>
  <si>
    <t>Nama Dataset :</t>
  </si>
  <si>
    <t>Sales Performance Dataset</t>
  </si>
  <si>
    <t>Jumlah Data:</t>
  </si>
  <si>
    <t>1.000 baris transaksi</t>
  </si>
  <si>
    <t>Jumlah Kolom:</t>
  </si>
  <si>
    <t>20 kolom utama</t>
  </si>
  <si>
    <t>Tujuan Pengecekan:</t>
  </si>
  <si>
    <t>Memastikan dataset tidak memiliki data kosong dan siap digunakan untuk analisis penjualan.</t>
  </si>
  <si>
    <t>Kolom yang Dicek:</t>
  </si>
  <si>
    <t>order_id, order_date, ship_date, customer_id, customer_name, segment, city, province, region, category, sub_category, product_name, quantity, unit_price, discount, sales, cost, profit, payment_method.</t>
  </si>
  <si>
    <t>Hasil Pengecekan Missing Value:</t>
  </si>
  <si>
    <t>Tidak ditemukan data kosong/blanks pada seluruh kolom utama.</t>
  </si>
  <si>
    <t>Catatan:</t>
  </si>
  <si>
    <t>Dataset sudah cukup bersih untuk digunakan pada tahap analisis awal. Selanjutnya akan ditambahkan kolom bantu seperti order_month, shipping_days, dan profit_margin.</t>
  </si>
  <si>
    <t>Ditemukan beberapa transaksi dengan profit negatif. Data ini tetap dipertahankan karena dapat digunakan untuk menganalisis transaksi yang merugikan bisnis.</t>
  </si>
  <si>
    <t>kolom S (profit)</t>
  </si>
  <si>
    <t>Kolom p (disc)</t>
  </si>
  <si>
    <t>Terdapat transaksi dengan discount tinggi yaitu 25% atau lebih. Data ini perlu diperhatikan karena discount tinggi dapat menurunkan profit.</t>
  </si>
  <si>
    <t>kolom v (shipping days)</t>
  </si>
  <si>
    <t>Terdapat beberapa transaksi dengan waktu pengiriman lebih dari 5 hari. Data ini dapat digunakan untuk mengevaluasi efisiensi proses pengiriman.</t>
  </si>
  <si>
    <t>kolom w (profit margin)</t>
  </si>
  <si>
    <t>Ditemukan transaksi dengan profit margin negatif. Hal ini menunjukkan bahwa beberapa transaksi menghasilkan kerugian dibandingkan nilai penjualannya.</t>
  </si>
  <si>
    <t>kesimpulan :</t>
  </si>
  <si>
    <t>Data tetap dapat digunakan untuk analisis. Nilai-nilai yang tidak biasa tidak dihapus karena dapat menjadi bahan insight bisnis.</t>
  </si>
  <si>
    <t>Row Labels</t>
  </si>
  <si>
    <t>Grand Total</t>
  </si>
  <si>
    <t>Sum of sales</t>
  </si>
  <si>
    <t>Sum of profit</t>
  </si>
  <si>
    <t>Sum of quantity</t>
  </si>
  <si>
    <t>insight awal :</t>
  </si>
  <si>
    <t>Technology menjadi kategori dengan total sales tertinggi.</t>
  </si>
  <si>
    <t>Office Supplies memiliki quantity tinggi, tetapi total sales paling rendah karena harga produk lebih kecil.</t>
  </si>
  <si>
    <t>2nd insight :</t>
  </si>
  <si>
    <t>Kategori dengan profit tertinggi: Technology</t>
  </si>
  <si>
    <t>Kategori dengan profit terendah: Office Supplies</t>
  </si>
  <si>
    <t>3rd insight :</t>
  </si>
  <si>
    <t>West memiliki sales tertinggi, tetapi East memiliki profit lebih tinggi. Ini menunjukkan bahwa sales terbesar belum tentu menghasilkan profit terbesar.</t>
  </si>
  <si>
    <t>4th insight :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</si>
  <si>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</si>
  <si>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</si>
  <si>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</si>
  <si>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</si>
  <si>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</si>
  <si>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</si>
  <si>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</si>
  <si>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</si>
  <si>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</si>
  <si>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</si>
  <si>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</si>
  <si>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</si>
  <si>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</si>
  <si>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</si>
  <si>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</si>
  <si>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</si>
  <si>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</si>
  <si>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</si>
  <si>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</si>
  <si>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</si>
  <si>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</si>
  <si>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</si>
  <si>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</si>
  <si>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</si>
  <si>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</si>
  <si>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</si>
  <si>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</si>
  <si>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</si>
  <si>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</si>
  <si>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</si>
  <si>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</si>
  <si>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</si>
  <si>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</si>
  <si>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</si>
  <si>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</si>
  <si>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</si>
  <si>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Bulan dengan sales tertinggi adalah 2025-02. Pola penjualan bulanan perlu dilihat lebih lanjut melalui line chart agar tren kenaikan dan penurunan lebih mudah terbaca.</t>
  </si>
  <si>
    <t>5th insight :</t>
  </si>
  <si>
    <t>6th insight :</t>
  </si>
  <si>
    <t>Beberapa produk dengan sales tinggi juga menghasilkan profit tinggi, tetapi perlu dilihat margin-nya agar tidak hanya bergantung pada revenue.</t>
  </si>
  <si>
    <t>Business Laptop 14 inch menjadi produk dengan sales dan profit tertinggi.</t>
  </si>
  <si>
    <t>No</t>
  </si>
  <si>
    <t>Area Analisis</t>
  </si>
  <si>
    <t>Hasil Utama</t>
  </si>
  <si>
    <t>Insight Awal</t>
  </si>
  <si>
    <t>Rekomendasi Awal</t>
  </si>
  <si>
    <t>Sales by Category</t>
  </si>
  <si>
    <t>Technology memiliki total sales tertinggi, sekitar 2,767,296,025</t>
  </si>
  <si>
    <t>Kategori Technology menjadi kontributor revenue terbesar dibanding Furniture dan Office Supplies.</t>
  </si>
  <si>
    <t>Fokuskan strategi promosi dan stok pada produk Technology karena kontribusinya paling besar terhadap sales.</t>
  </si>
  <si>
    <t>Profit by Category</t>
  </si>
  <si>
    <t>Technology juga memiliki total profit tertinggi, sekitar 402,972,924</t>
  </si>
  <si>
    <t>Selain menghasilkan sales tertinggi, Technology juga memberikan profit terbesar.</t>
  </si>
  <si>
    <t>Pertahankan performa kategori Technology dan evaluasi produk-produk dengan margin paling tinggi.</t>
  </si>
  <si>
    <t>Quantity by Category</t>
  </si>
  <si>
    <t>Office Supplies memiliki quantity tinggi, tetapi total sales paling rendah</t>
  </si>
  <si>
    <t>Produk Office Supplies banyak terjual, tetapi harga produknya relatif kecil sehingga revenue tidak sebesar kategori lain.</t>
  </si>
  <si>
    <t>Gunakan Office Supplies sebagai produk volume tinggi, tetapi jangan hanya bergantung pada kategori ini untuk revenue besar.</t>
  </si>
  <si>
    <t>Sales by Region</t>
  </si>
  <si>
    <t>West memiliki sales tertinggi, sekitar 1,556,504,440</t>
  </si>
  <si>
    <t>Region West menjadi wilayah dengan kontribusi penjualan terbesar.</t>
  </si>
  <si>
    <t>Pertahankan strategi penjualan di region West dan pelajari faktor yang membuat performanya tinggi.</t>
  </si>
  <si>
    <t>Profit by Region</t>
  </si>
  <si>
    <t>East memiliki profit lebih tinggi dibanding West, meskipun sales West sedikit lebih besar</t>
  </si>
  <si>
    <t>Sales terbesar belum tentu menghasilkan profit terbesar. Region East lebih efisien dalam menghasilkan profit.</t>
  </si>
  <si>
    <t>Analisis lebih lanjut produk atau kategori apa yang membuat region East lebih profitable.</t>
  </si>
  <si>
    <t>Sales by Month</t>
  </si>
  <si>
    <t>Bulan dengan sales tertinggi adalah 2025-02, sekitar 229,329,440</t>
  </si>
  <si>
    <t>Ada periode tertentu yang menghasilkan penjualan lebih tinggi dibanding bulan lain.</t>
  </si>
  <si>
    <t>Gunakan pola penjualan bulanan untuk merencanakan campaign atau promosi pada periode potensial.</t>
  </si>
  <si>
    <t>Top Product by Sales</t>
  </si>
  <si>
    <t>Business Laptop 14 inch memiliki sales tertinggi, sekitar 862,453,340</t>
  </si>
  <si>
    <t>Produk ini menjadi produk utama penyumbang revenue terbesar.</t>
  </si>
  <si>
    <t>Pastikan stok produk ini terjaga dan pertimbangkan bundling dengan aksesoris untuk meningkatkan nilai transaksi.</t>
  </si>
  <si>
    <t>Top Product by Profit</t>
  </si>
  <si>
    <t>Business Laptop 14 inch juga memiliki profit tertinggi, sekitar 109,434,735</t>
  </si>
  <si>
    <t>Produk dengan sales tertinggi juga terbukti memberikan profit paling besar.</t>
  </si>
  <si>
    <t>Jadikan produk ini sebagai prioritas dalam strategi penjualan dan promosi.</t>
  </si>
  <si>
    <t>Profit Negatif</t>
  </si>
  <si>
    <t>Ditemukan beberapa transaksi dengan profit negatif</t>
  </si>
  <si>
    <t>Beberapa transaksi menyebabkan kerugian, kemungkinan karena discount tinggi atau cost terlalu besar.</t>
  </si>
  <si>
    <t>Evaluasi transaksi/proyek dengan profit negatif agar diskon atau biaya tidak menurunkan margin bisnis.</t>
  </si>
  <si>
    <t>Discount Tinggi</t>
  </si>
  <si>
    <t>Terdapat transaksi dengan discount 25% atau lebih</t>
  </si>
  <si>
    <t>Discount tinggi berpotensi menurunkan profit bahkan membuat transaksi rugi.</t>
  </si>
  <si>
    <t>Buat batas maksimal discount atau evaluasi dampak discount terhadap profit sebelum diterapkan.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</si>
</sst>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dine Sayidina" refreshedDate="46158.770360069444" createdVersion="8" refreshedVersion="8" minRefreshableVersion="3" recordCount="1000" xr:uid="{30230BA3-1E73-4D00-BA7F-3697AF7BD8C1}">
  <cacheSource type="worksheet">
    <worksheetSource ref="A1:W1001" sheet="sales_performance_dataset "/>
  </cacheSource>
  <cacheFields count="23">
    <cacheField name="order_id" numFmtId="0">
      <sharedItems/>
    </cacheField>
    <cacheField name="order_date" numFmtId="14">
      <sharedItems containsSemiMixedTypes="0" containsNonDate="0" containsDate="1" containsString="0" minDate="2023-01-01T00:00:00" maxDate="2025-12-31T00:00:00"/>
    </cacheField>
    <cacheField name="ship_date" numFmtId="14">
      <sharedItems containsSemiMixedTypes="0" containsNonDate="0" containsDate="1" containsString="0" minDate="2023-01-03T00:00:00" maxDate="2026-01-05T00:00:00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ity" numFmtId="0">
      <sharedItems/>
    </cacheField>
    <cacheField name="province" numFmtId="0">
      <sharedItems/>
    </cacheField>
    <cacheField name="region" numFmtId="0">
      <sharedItems count="3">
        <s v="Central"/>
        <s v="West"/>
        <s v="East"/>
      </sharedItems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product_id" numFmtId="0">
      <sharedItems/>
    </cacheField>
    <cacheField name="product_name" numFmtId="0">
      <sharedItems count="22">
        <s v="Marker Set"/>
        <s v="Filing Cabinet"/>
        <s v="Mechanical Keyboard"/>
        <s v="Bookshelf 4 Tier"/>
        <s v="Wireless Mouse"/>
        <s v="Ballpoint Pen Box"/>
        <s v="Study Chair"/>
        <s v="Standing Desk"/>
        <s v="A4 Copy Paper 80gsm"/>
        <s v="Photo Paper Pack"/>
        <s v="Sticky Notes Pack"/>
        <s v="Inkjet Printer"/>
        <s v="Student Laptop 14 inch"/>
        <s v="Office Desk 120cm"/>
        <s v="Business Laptop 14 inch"/>
        <s v="Android Smartphone 256GB"/>
        <s v="Document Organizer"/>
        <s v="Android Smartphone 128GB"/>
        <s v="Desk Organizer"/>
        <s v="Ergonomic Office Chair"/>
        <s v="USB-C Hub"/>
        <s v="Ring Binder Folder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24500" maxValue="9175300"/>
    </cacheField>
    <cacheField name="discount" numFmtId="0">
      <sharedItems containsSemiMixedTypes="0" containsString="0" containsNumber="1" minValue="0" maxValue="0.3"/>
    </cacheField>
    <cacheField name="sales" numFmtId="0">
      <sharedItems containsSemiMixedTypes="0" containsString="0" containsNumber="1" containsInteger="1" minValue="18825" maxValue="85755550"/>
    </cacheField>
    <cacheField name="cost" numFmtId="0">
      <sharedItems containsSemiMixedTypes="0" containsString="0" containsNumber="1" minValue="11524.62" maxValue="67964529.150000006"/>
    </cacheField>
    <cacheField name="profit" numFmtId="0">
      <sharedItems containsSemiMixedTypes="0" containsString="0" containsNumber="1" minValue="-5188778.2" maxValue="17791020.850000001"/>
    </cacheField>
    <cacheField name="payment_method" numFmtId="0">
      <sharedItems/>
    </cacheField>
    <cacheField name="order_month" numFmtId="0">
      <sharedItems count="36">
        <s v="2023-08"/>
        <s v="2024-04"/>
        <s v="2024-11"/>
        <s v="2025-02"/>
        <s v="2023-12"/>
        <s v="2025-04"/>
        <s v="2025-05"/>
        <s v="2025-06"/>
        <s v="2023-11"/>
        <s v="2023-06"/>
        <s v="2024-02"/>
        <s v="2023-01"/>
        <s v="2025-08"/>
        <s v="2023-07"/>
        <s v="2023-04"/>
        <s v="2024-05"/>
        <s v="2024-09"/>
        <s v="2025-01"/>
        <s v="2024-03"/>
        <s v="2025-07"/>
        <s v="2025-03"/>
        <s v="2024-10"/>
        <s v="2023-05"/>
        <s v="2024-12"/>
        <s v="2023-03"/>
        <s v="2025-12"/>
        <s v="2024-01"/>
        <s v="2025-10"/>
        <s v="2024-08"/>
        <s v="2024-07"/>
        <s v="2023-10"/>
        <s v="2023-02"/>
        <s v="2025-09"/>
        <s v="2023-09"/>
        <s v="2025-11"/>
        <s v="2024-06"/>
      </sharedItems>
    </cacheField>
    <cacheField name="shipping_days" numFmtId="0">
      <sharedItems containsSemiMixedTypes="0" containsString="0" containsNumber="1" containsInteger="1" minValue="1" maxValue="7"/>
    </cacheField>
    <cacheField name="profit_margins" numFmtId="9">
      <sharedItems containsSemiMixedTypes="0" containsString="0" containsNumber="1" minValue="-0.22942293398889757" maxValue="0.53007938144329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00001"/>
    <d v="2023-08-17T00:00:00"/>
    <d v="2023-08-18T00:00:00"/>
    <s v="CUST-0016"/>
    <s v="Citra Putra"/>
    <s v="Consumer"/>
    <s v="Semarang"/>
    <s v="Jawa Tengah"/>
    <x v="0"/>
    <x v="0"/>
    <s v="Writing"/>
    <s v="PROD-7529"/>
    <x v="0"/>
    <n v="3"/>
    <n v="74500"/>
    <n v="0"/>
    <n v="223500"/>
    <n v="121275.33"/>
    <n v="102224.67"/>
    <s v="Bank Transfer"/>
    <x v="0"/>
    <n v="1"/>
    <n v="0.45738107382550336"/>
  </r>
  <r>
    <s v="ORD-00002"/>
    <d v="2024-04-21T00:00:00"/>
    <d v="2024-04-26T00:00:00"/>
    <s v="CUST-0082"/>
    <s v="Zahra Hidayat"/>
    <s v="Corporate"/>
    <s v="Semarang"/>
    <s v="Jawa Tengah"/>
    <x v="0"/>
    <x v="1"/>
    <s v="Storage"/>
    <s v="PROD-7524"/>
    <x v="1"/>
    <n v="1"/>
    <n v="1009000"/>
    <n v="0.15"/>
    <n v="857650"/>
    <n v="652393.66"/>
    <n v="205256.34"/>
    <s v="Cash"/>
    <x v="1"/>
    <n v="5"/>
    <n v="0.23932412988981519"/>
  </r>
  <r>
    <s v="ORD-00003"/>
    <d v="2024-11-27T00:00:00"/>
    <d v="2024-11-30T00:00:00"/>
    <s v="CUST-0236"/>
    <s v="Sari Santoso"/>
    <s v="Consumer"/>
    <s v="Bandung"/>
    <s v="Jawa Barat"/>
    <x v="1"/>
    <x v="2"/>
    <s v="Accessories"/>
    <s v="PROD-4943"/>
    <x v="2"/>
    <n v="2"/>
    <n v="473200"/>
    <n v="0"/>
    <n v="946400"/>
    <n v="560743.99"/>
    <n v="385656.01"/>
    <s v="Bank Transfer"/>
    <x v="2"/>
    <n v="3"/>
    <n v="0.40749789729501268"/>
  </r>
  <r>
    <s v="ORD-00004"/>
    <d v="2025-02-14T00:00:00"/>
    <d v="2025-02-15T00:00:00"/>
    <s v="CUST-0149"/>
    <s v="Citra Nugroho"/>
    <s v="Small Business"/>
    <s v="Makassar"/>
    <s v="Sulawesi Selatan"/>
    <x v="2"/>
    <x v="1"/>
    <s v="Storage"/>
    <s v="PROD-2602"/>
    <x v="3"/>
    <n v="3"/>
    <n v="917900"/>
    <n v="0"/>
    <n v="2753700"/>
    <n v="1753438.86"/>
    <n v="1000261.14"/>
    <s v="E-Wallet"/>
    <x v="3"/>
    <n v="1"/>
    <n v="0.36324259723281405"/>
  </r>
  <r>
    <s v="ORD-00005"/>
    <d v="2024-04-21T00:00:00"/>
    <d v="2024-04-28T00:00:00"/>
    <s v="CUST-0037"/>
    <s v="Vina Ramadhan"/>
    <s v="Corporate"/>
    <s v="Denpasar"/>
    <s v="Bali"/>
    <x v="2"/>
    <x v="2"/>
    <s v="Accessories"/>
    <s v="PROD-3744"/>
    <x v="4"/>
    <n v="1"/>
    <n v="122300"/>
    <n v="0.1"/>
    <n v="110070"/>
    <n v="73859.08"/>
    <n v="36210.92"/>
    <s v="E-Wallet"/>
    <x v="1"/>
    <n v="7"/>
    <n v="0.32898083038066683"/>
  </r>
  <r>
    <s v="ORD-00006"/>
    <d v="2023-12-17T00:00:00"/>
    <d v="2023-12-22T00:00:00"/>
    <s v="CUST-0017"/>
    <s v="Rizky Permata"/>
    <s v="Consumer"/>
    <s v="Denpasar"/>
    <s v="Bali"/>
    <x v="2"/>
    <x v="0"/>
    <s v="Writing"/>
    <s v="PROD-7527"/>
    <x v="5"/>
    <n v="3"/>
    <n v="48800"/>
    <n v="0.15"/>
    <n v="124440"/>
    <n v="74588.41"/>
    <n v="49851.59"/>
    <s v="Credit Card"/>
    <x v="4"/>
    <n v="5"/>
    <n v="0.40060744133719056"/>
  </r>
  <r>
    <s v="ORD-00007"/>
    <d v="2025-04-01T00:00:00"/>
    <d v="2025-04-04T00:00:00"/>
    <s v="CUST-0135"/>
    <s v="Farhan Anggraini"/>
    <s v="Corporate"/>
    <s v="Semarang"/>
    <s v="Jawa Tengah"/>
    <x v="0"/>
    <x v="2"/>
    <s v="Accessories"/>
    <s v="PROD-4943"/>
    <x v="2"/>
    <n v="5"/>
    <n v="505100"/>
    <n v="0"/>
    <n v="2525500"/>
    <n v="1515941.99"/>
    <n v="1009558.01"/>
    <s v="Cash"/>
    <x v="5"/>
    <n v="3"/>
    <n v="0.39974579687190653"/>
  </r>
  <r>
    <s v="ORD-00008"/>
    <d v="2025-05-27T00:00:00"/>
    <d v="2025-06-01T00:00:00"/>
    <s v="CUST-0217"/>
    <s v="Vina Santoso"/>
    <s v="Consumer"/>
    <s v="Bogor"/>
    <s v="Jawa Barat"/>
    <x v="1"/>
    <x v="1"/>
    <s v="Chair"/>
    <s v="PROD-0956"/>
    <x v="6"/>
    <n v="4"/>
    <n v="708100"/>
    <n v="0"/>
    <n v="2832400"/>
    <n v="1759799.87"/>
    <n v="1072600.1299999999"/>
    <s v="Bank Transfer"/>
    <x v="6"/>
    <n v="5"/>
    <n v="0.3786894965400367"/>
  </r>
  <r>
    <s v="ORD-00009"/>
    <d v="2025-02-27T00:00:00"/>
    <d v="2025-03-03T00:00:00"/>
    <s v="CUST-0175"/>
    <s v="Dewi Lestari"/>
    <s v="Consumer"/>
    <s v="Medan"/>
    <s v="Sumatera Utara"/>
    <x v="1"/>
    <x v="1"/>
    <s v="Desk"/>
    <s v="PROD-4040"/>
    <x v="7"/>
    <n v="3"/>
    <n v="2914400"/>
    <n v="0.2"/>
    <n v="6994560"/>
    <n v="6411649.7999999998"/>
    <n v="582910.19999999995"/>
    <s v="Bank Transfer"/>
    <x v="3"/>
    <n v="4"/>
    <n v="8.3337650974471586E-2"/>
  </r>
  <r>
    <s v="ORD-00010"/>
    <d v="2025-06-09T00:00:00"/>
    <d v="2025-06-11T00:00:00"/>
    <s v="CUST-0260"/>
    <s v="Vina Putra"/>
    <s v="Small Business"/>
    <s v="Yogyakarta"/>
    <s v="DI Yogyakarta"/>
    <x v="0"/>
    <x v="1"/>
    <s v="Storage"/>
    <s v="PROD-2602"/>
    <x v="3"/>
    <n v="2"/>
    <n v="803400"/>
    <n v="0.1"/>
    <n v="1446120"/>
    <n v="1106476.32"/>
    <n v="339643.68"/>
    <s v="Credit Card"/>
    <x v="7"/>
    <n v="2"/>
    <n v="0.23486548834121648"/>
  </r>
  <r>
    <s v="ORD-00011"/>
    <d v="2023-11-10T00:00:00"/>
    <d v="2023-11-13T00:00:00"/>
    <s v="CUST-0123"/>
    <s v="Bima Putra"/>
    <s v="Consumer"/>
    <s v="Makassar"/>
    <s v="Sulawesi Selatan"/>
    <x v="2"/>
    <x v="0"/>
    <s v="Paper"/>
    <s v="PROD-7955"/>
    <x v="8"/>
    <n v="1"/>
    <n v="56800"/>
    <n v="0.3"/>
    <n v="39760"/>
    <n v="32954.47"/>
    <n v="6805.53"/>
    <s v="Bank Transfer"/>
    <x v="8"/>
    <n v="3"/>
    <n v="0.17116524144869213"/>
  </r>
  <r>
    <s v="ORD-00012"/>
    <d v="2023-06-11T00:00:00"/>
    <d v="2023-06-12T00:00:00"/>
    <s v="CUST-0217"/>
    <s v="Gita Siregar"/>
    <s v="Corporate"/>
    <s v="Medan"/>
    <s v="Sumatera Utara"/>
    <x v="1"/>
    <x v="0"/>
    <s v="Paper"/>
    <s v="PROD-9601"/>
    <x v="9"/>
    <n v="3"/>
    <n v="84200"/>
    <n v="0"/>
    <n v="252600"/>
    <n v="149232.70000000001"/>
    <n v="103367.3"/>
    <s v="Credit Card"/>
    <x v="9"/>
    <n v="1"/>
    <n v="0.40921338083927161"/>
  </r>
  <r>
    <s v="ORD-00013"/>
    <d v="2024-02-16T00:00:00"/>
    <d v="2024-02-22T00:00:00"/>
    <s v="CUST-0118"/>
    <s v="Toni Putra"/>
    <s v="Small Business"/>
    <s v="Denpasar"/>
    <s v="Bali"/>
    <x v="2"/>
    <x v="2"/>
    <s v="Accessories"/>
    <s v="PROD-4943"/>
    <x v="2"/>
    <n v="1"/>
    <n v="460500"/>
    <n v="0.05"/>
    <n v="437475"/>
    <n v="293070.34000000003"/>
    <n v="144404.66"/>
    <s v="Cash"/>
    <x v="10"/>
    <n v="6"/>
    <n v="0.33008665638036461"/>
  </r>
  <r>
    <s v="ORD-00014"/>
    <d v="2023-01-15T00:00:00"/>
    <d v="2023-01-16T00:00:00"/>
    <s v="CUST-0110"/>
    <s v="Sari Wijaya"/>
    <s v="Consumer"/>
    <s v="Semarang"/>
    <s v="Jawa Tengah"/>
    <x v="0"/>
    <x v="0"/>
    <s v="Paper"/>
    <s v="PROD-7955"/>
    <x v="8"/>
    <n v="5"/>
    <n v="53100"/>
    <n v="0"/>
    <n v="265500"/>
    <n v="151423.12"/>
    <n v="114076.88"/>
    <s v="Bank Transfer"/>
    <x v="11"/>
    <n v="1"/>
    <n v="0.42966809792843691"/>
  </r>
  <r>
    <s v="ORD-00015"/>
    <d v="2025-08-26T00:00:00"/>
    <d v="2025-08-28T00:00:00"/>
    <s v="CUST-0051"/>
    <s v="Bima Hidayat"/>
    <s v="Consumer"/>
    <s v="Semarang"/>
    <s v="Jawa Tengah"/>
    <x v="0"/>
    <x v="0"/>
    <s v="Stationery"/>
    <s v="PROD-1004"/>
    <x v="10"/>
    <n v="2"/>
    <n v="26700"/>
    <n v="0.2"/>
    <n v="42720"/>
    <n v="25041.97"/>
    <n v="17678.03"/>
    <s v="Cash"/>
    <x v="12"/>
    <n v="2"/>
    <n v="0.41381156367041194"/>
  </r>
  <r>
    <s v="ORD-00016"/>
    <d v="2024-11-25T00:00:00"/>
    <d v="2024-12-02T00:00:00"/>
    <s v="CUST-0039"/>
    <s v="Oki Utami"/>
    <s v="Consumer"/>
    <s v="Semarang"/>
    <s v="Jawa Tengah"/>
    <x v="0"/>
    <x v="0"/>
    <s v="Writing"/>
    <s v="PROD-7529"/>
    <x v="0"/>
    <n v="1"/>
    <n v="63900"/>
    <n v="0.05"/>
    <n v="60705"/>
    <n v="36703.449999999997"/>
    <n v="24001.55"/>
    <s v="Cash"/>
    <x v="2"/>
    <n v="7"/>
    <n v="0.39538011695906433"/>
  </r>
  <r>
    <s v="ORD-00017"/>
    <d v="2023-07-20T00:00:00"/>
    <d v="2023-07-21T00:00:00"/>
    <s v="CUST-0031"/>
    <s v="Fajar Hidayat"/>
    <s v="Small Business"/>
    <s v="Bandung"/>
    <s v="Jawa Barat"/>
    <x v="1"/>
    <x v="0"/>
    <s v="Paper"/>
    <s v="PROD-7955"/>
    <x v="8"/>
    <n v="1"/>
    <n v="58400"/>
    <n v="0"/>
    <n v="58400"/>
    <n v="32188.58"/>
    <n v="26211.42"/>
    <s v="Credit Card"/>
    <x v="13"/>
    <n v="1"/>
    <n v="0.44882568493150682"/>
  </r>
  <r>
    <s v="ORD-00018"/>
    <d v="2023-01-05T00:00:00"/>
    <d v="2023-01-09T00:00:00"/>
    <s v="CUST-0032"/>
    <s v="Farhan Permata"/>
    <s v="Consumer"/>
    <s v="Yogyakarta"/>
    <s v="DI Yogyakarta"/>
    <x v="0"/>
    <x v="2"/>
    <s v="Printer"/>
    <s v="PROD-5410"/>
    <x v="11"/>
    <n v="1"/>
    <n v="1399600"/>
    <n v="0.25"/>
    <n v="1049700"/>
    <n v="1033200.5"/>
    <n v="16499.5"/>
    <s v="Cash"/>
    <x v="11"/>
    <n v="4"/>
    <n v="1.5718300466800037E-2"/>
  </r>
  <r>
    <s v="ORD-00019"/>
    <d v="2023-04-28T00:00:00"/>
    <d v="2023-04-29T00:00:00"/>
    <s v="CUST-0207"/>
    <s v="Dewi Siregar"/>
    <s v="Consumer"/>
    <s v="Medan"/>
    <s v="Sumatera Utara"/>
    <x v="1"/>
    <x v="1"/>
    <s v="Storage"/>
    <s v="PROD-7524"/>
    <x v="1"/>
    <n v="5"/>
    <n v="896800"/>
    <n v="0"/>
    <n v="4484000"/>
    <n v="3238276.72"/>
    <n v="1245723.28"/>
    <s v="Bank Transfer"/>
    <x v="14"/>
    <n v="1"/>
    <n v="0.27781518287243534"/>
  </r>
  <r>
    <s v="ORD-00020"/>
    <d v="2024-05-19T00:00:00"/>
    <d v="2024-05-24T00:00:00"/>
    <s v="CUST-0203"/>
    <s v="Eka Ramadhan"/>
    <s v="Consumer"/>
    <s v="Bandung"/>
    <s v="Jawa Barat"/>
    <x v="1"/>
    <x v="1"/>
    <s v="Storage"/>
    <s v="PROD-7524"/>
    <x v="1"/>
    <n v="6"/>
    <n v="926000"/>
    <n v="0.15"/>
    <n v="4722600"/>
    <n v="3706406.7"/>
    <n v="1016193.3"/>
    <s v="E-Wallet"/>
    <x v="15"/>
    <n v="5"/>
    <n v="0.21517666116122475"/>
  </r>
  <r>
    <s v="ORD-00021"/>
    <d v="2024-09-06T00:00:00"/>
    <d v="2024-09-10T00:00:00"/>
    <s v="CUST-0036"/>
    <s v="Dinda Putra"/>
    <s v="Consumer"/>
    <s v="Jakarta"/>
    <s v="DKI Jakarta"/>
    <x v="1"/>
    <x v="2"/>
    <s v="Laptop"/>
    <s v="PROD-8448"/>
    <x v="12"/>
    <n v="1"/>
    <n v="5776100"/>
    <n v="0"/>
    <n v="5776100"/>
    <n v="4950458.3499999996"/>
    <n v="825641.65"/>
    <s v="Bank Transfer"/>
    <x v="16"/>
    <n v="4"/>
    <n v="0.14294102422049479"/>
  </r>
  <r>
    <s v="ORD-00022"/>
    <d v="2025-01-26T00:00:00"/>
    <d v="2025-01-29T00:00:00"/>
    <s v="CUST-0069"/>
    <s v="Indra Santoso"/>
    <s v="Small Business"/>
    <s v="Makassar"/>
    <s v="Sulawesi Selatan"/>
    <x v="2"/>
    <x v="2"/>
    <s v="Accessories"/>
    <s v="PROD-3744"/>
    <x v="4"/>
    <n v="3"/>
    <n v="127800"/>
    <n v="0.25"/>
    <n v="287550"/>
    <n v="214247.92"/>
    <n v="73302.080000000002"/>
    <s v="Bank Transfer"/>
    <x v="17"/>
    <n v="3"/>
    <n v="0.25491942270909407"/>
  </r>
  <r>
    <s v="ORD-00023"/>
    <d v="2023-08-08T00:00:00"/>
    <d v="2023-08-14T00:00:00"/>
    <s v="CUST-0027"/>
    <s v="Citra Ramadhan"/>
    <s v="Corporate"/>
    <s v="Yogyakarta"/>
    <s v="DI Yogyakarta"/>
    <x v="0"/>
    <x v="1"/>
    <s v="Desk"/>
    <s v="PROD-6903"/>
    <x v="13"/>
    <n v="1"/>
    <n v="1299400"/>
    <n v="0"/>
    <n v="1299400"/>
    <n v="882359.03"/>
    <n v="417040.97"/>
    <s v="E-Wallet"/>
    <x v="0"/>
    <n v="6"/>
    <n v="0.32094887640449438"/>
  </r>
  <r>
    <s v="ORD-00024"/>
    <d v="2025-05-17T00:00:00"/>
    <d v="2025-05-24T00:00:00"/>
    <s v="CUST-0058"/>
    <s v="Citra Siregar"/>
    <s v="Corporate"/>
    <s v="Surabaya"/>
    <s v="Jawa Timur"/>
    <x v="2"/>
    <x v="2"/>
    <s v="Laptop"/>
    <s v="PROD-7745"/>
    <x v="14"/>
    <n v="1"/>
    <n v="8177100"/>
    <n v="0.15"/>
    <n v="6950535"/>
    <n v="6524311.4800000004"/>
    <n v="426223.52"/>
    <s v="E-Wallet"/>
    <x v="6"/>
    <n v="7"/>
    <n v="6.1322404678201034E-2"/>
  </r>
  <r>
    <s v="ORD-00025"/>
    <d v="2023-11-02T00:00:00"/>
    <d v="2023-11-07T00:00:00"/>
    <s v="CUST-0021"/>
    <s v="Dinda Permata"/>
    <s v="Corporate"/>
    <s v="Makassar"/>
    <s v="Sulawesi Selatan"/>
    <x v="2"/>
    <x v="2"/>
    <s v="Accessories"/>
    <s v="PROD-4943"/>
    <x v="2"/>
    <n v="1"/>
    <n v="469400"/>
    <n v="0.2"/>
    <n v="375520"/>
    <n v="306596.8"/>
    <n v="68923.199999999997"/>
    <s v="Cash"/>
    <x v="8"/>
    <n v="5"/>
    <n v="0.18354069024286321"/>
  </r>
  <r>
    <s v="ORD-00026"/>
    <d v="2024-03-06T00:00:00"/>
    <d v="2024-03-12T00:00:00"/>
    <s v="CUST-0084"/>
    <s v="Rizky Utami"/>
    <s v="Corporate"/>
    <s v="Surabaya"/>
    <s v="Jawa Timur"/>
    <x v="2"/>
    <x v="2"/>
    <s v="Laptop"/>
    <s v="PROD-8448"/>
    <x v="12"/>
    <n v="10"/>
    <n v="6495800"/>
    <n v="0.25"/>
    <n v="48718500"/>
    <n v="50967390.299999997"/>
    <n v="-2248890.2999999998"/>
    <s v="Cash"/>
    <x v="18"/>
    <n v="6"/>
    <n v="-4.6160910126543303E-2"/>
  </r>
  <r>
    <s v="ORD-00027"/>
    <d v="2023-12-29T00:00:00"/>
    <d v="2024-01-02T00:00:00"/>
    <s v="CUST-0241"/>
    <s v="Hadi Putra"/>
    <s v="Corporate"/>
    <s v="Malang"/>
    <s v="Jawa Timur"/>
    <x v="2"/>
    <x v="2"/>
    <s v="Accessories"/>
    <s v="PROD-4943"/>
    <x v="2"/>
    <n v="1"/>
    <n v="520500"/>
    <n v="0"/>
    <n v="520500"/>
    <n v="343163.9"/>
    <n v="177336.1"/>
    <s v="Credit Card"/>
    <x v="4"/>
    <n v="4"/>
    <n v="0.34070336215177716"/>
  </r>
  <r>
    <s v="ORD-00028"/>
    <d v="2025-07-31T00:00:00"/>
    <d v="2025-08-03T00:00:00"/>
    <s v="CUST-0180"/>
    <s v="Wulan Saputra"/>
    <s v="Consumer"/>
    <s v="Semarang"/>
    <s v="Jawa Tengah"/>
    <x v="0"/>
    <x v="2"/>
    <s v="Smartphone"/>
    <s v="PROD-6076"/>
    <x v="15"/>
    <n v="2"/>
    <n v="4518100"/>
    <n v="0"/>
    <n v="9036200"/>
    <n v="7119616.0800000001"/>
    <n v="1916583.92"/>
    <s v="Credit Card"/>
    <x v="19"/>
    <n v="3"/>
    <n v="0.2121006529293287"/>
  </r>
  <r>
    <s v="ORD-00029"/>
    <d v="2025-03-29T00:00:00"/>
    <d v="2025-04-04T00:00:00"/>
    <s v="CUST-0223"/>
    <s v="Lina Mahendra"/>
    <s v="Consumer"/>
    <s v="Jakarta"/>
    <s v="DKI Jakarta"/>
    <x v="1"/>
    <x v="0"/>
    <s v="Binder"/>
    <s v="PROD-7352"/>
    <x v="16"/>
    <n v="1"/>
    <n v="62300"/>
    <n v="0"/>
    <n v="62300"/>
    <n v="31833.360000000001"/>
    <n v="30466.639999999999"/>
    <s v="E-Wallet"/>
    <x v="20"/>
    <n v="6"/>
    <n v="0.48903113964686995"/>
  </r>
  <r>
    <s v="ORD-00030"/>
    <d v="2024-10-04T00:00:00"/>
    <d v="2024-10-08T00:00:00"/>
    <s v="CUST-0101"/>
    <s v="Lina Hidayat"/>
    <s v="Consumer"/>
    <s v="Bandung"/>
    <s v="Jawa Barat"/>
    <x v="1"/>
    <x v="1"/>
    <s v="Storage"/>
    <s v="PROD-7524"/>
    <x v="1"/>
    <n v="1"/>
    <n v="1034800"/>
    <n v="0"/>
    <n v="1034800"/>
    <n v="753149.01"/>
    <n v="281650.99"/>
    <s v="Credit Card"/>
    <x v="21"/>
    <n v="4"/>
    <n v="0.27217915539234633"/>
  </r>
  <r>
    <s v="ORD-00031"/>
    <d v="2023-05-24T00:00:00"/>
    <d v="2023-05-30T00:00:00"/>
    <s v="CUST-0066"/>
    <s v="Gita Hidayat"/>
    <s v="Corporate"/>
    <s v="Bandung"/>
    <s v="Jawa Barat"/>
    <x v="1"/>
    <x v="0"/>
    <s v="Binder"/>
    <s v="PROD-7352"/>
    <x v="16"/>
    <n v="2"/>
    <n v="58600"/>
    <n v="0.05"/>
    <n v="111340"/>
    <n v="64640.21"/>
    <n v="46699.79"/>
    <s v="E-Wallet"/>
    <x v="22"/>
    <n v="6"/>
    <n v="0.41943407580384406"/>
  </r>
  <r>
    <s v="ORD-00032"/>
    <d v="2025-02-15T00:00:00"/>
    <d v="2025-02-21T00:00:00"/>
    <s v="CUST-0165"/>
    <s v="Oki Kusuma"/>
    <s v="Corporate"/>
    <s v="Makassar"/>
    <s v="Sulawesi Selatan"/>
    <x v="2"/>
    <x v="0"/>
    <s v="Writing"/>
    <s v="PROD-7527"/>
    <x v="5"/>
    <n v="2"/>
    <n v="40500"/>
    <n v="0"/>
    <n v="81000"/>
    <n v="42367.9"/>
    <n v="38632.1"/>
    <s v="Cash"/>
    <x v="3"/>
    <n v="6"/>
    <n v="0.47693950617283948"/>
  </r>
  <r>
    <s v="ORD-00033"/>
    <d v="2025-06-24T00:00:00"/>
    <d v="2025-06-30T00:00:00"/>
    <s v="CUST-0121"/>
    <s v="Yoga Lestari"/>
    <s v="Corporate"/>
    <s v="Bogor"/>
    <s v="Jawa Barat"/>
    <x v="1"/>
    <x v="2"/>
    <s v="Printer"/>
    <s v="PROD-5410"/>
    <x v="11"/>
    <n v="2"/>
    <n v="1506900"/>
    <n v="0.05"/>
    <n v="2863110"/>
    <n v="2292309.65"/>
    <n v="570800.35"/>
    <s v="E-Wallet"/>
    <x v="7"/>
    <n v="6"/>
    <n v="0.19936375130539866"/>
  </r>
  <r>
    <s v="ORD-00034"/>
    <d v="2024-04-05T00:00:00"/>
    <d v="2024-04-12T00:00:00"/>
    <s v="CUST-0100"/>
    <s v="Zahra Mahendra"/>
    <s v="Consumer"/>
    <s v="Jakarta"/>
    <s v="DKI Jakarta"/>
    <x v="1"/>
    <x v="2"/>
    <s v="Laptop"/>
    <s v="PROD-7745"/>
    <x v="14"/>
    <n v="3"/>
    <n v="8766400"/>
    <n v="0.05"/>
    <n v="24984240"/>
    <n v="21850802.949999999"/>
    <n v="3133437.05"/>
    <s v="Cash"/>
    <x v="1"/>
    <n v="7"/>
    <n v="0.12541654458970936"/>
  </r>
  <r>
    <s v="ORD-00035"/>
    <d v="2025-02-25T00:00:00"/>
    <d v="2025-03-01T00:00:00"/>
    <s v="CUST-0238"/>
    <s v="Bima Saputra"/>
    <s v="Small Business"/>
    <s v="Jakarta"/>
    <s v="DKI Jakarta"/>
    <x v="1"/>
    <x v="1"/>
    <s v="Chair"/>
    <s v="PROD-0956"/>
    <x v="6"/>
    <n v="4"/>
    <n v="616300"/>
    <n v="0.15"/>
    <n v="2095420"/>
    <n v="1641576.33"/>
    <n v="453843.67"/>
    <s v="Bank Transfer"/>
    <x v="3"/>
    <n v="4"/>
    <n v="0.21658840232507087"/>
  </r>
  <r>
    <s v="ORD-00036"/>
    <d v="2024-05-25T00:00:00"/>
    <d v="2024-06-01T00:00:00"/>
    <s v="CUST-0259"/>
    <s v="Nadia Nugroho"/>
    <s v="Corporate"/>
    <s v="Denpasar"/>
    <s v="Bali"/>
    <x v="2"/>
    <x v="2"/>
    <s v="Smartphone"/>
    <s v="PROD-2176"/>
    <x v="17"/>
    <n v="8"/>
    <n v="3507600"/>
    <n v="0.1"/>
    <n v="25254720"/>
    <n v="22254017.789999999"/>
    <n v="3000702.21"/>
    <s v="E-Wallet"/>
    <x v="15"/>
    <n v="7"/>
    <n v="0.11881748085110427"/>
  </r>
  <r>
    <s v="ORD-00037"/>
    <d v="2025-07-02T00:00:00"/>
    <d v="2025-07-04T00:00:00"/>
    <s v="CUST-0123"/>
    <s v="Indra Kusuma"/>
    <s v="Consumer"/>
    <s v="Denpasar"/>
    <s v="Bali"/>
    <x v="2"/>
    <x v="0"/>
    <s v="Stationery"/>
    <s v="PROD-5388"/>
    <x v="18"/>
    <n v="5"/>
    <n v="110500"/>
    <n v="0.15"/>
    <n v="469625"/>
    <n v="319018.27"/>
    <n v="150606.73000000001"/>
    <s v="Credit Card"/>
    <x v="19"/>
    <n v="2"/>
    <n v="0.32069572531274954"/>
  </r>
  <r>
    <s v="ORD-00038"/>
    <d v="2023-06-08T00:00:00"/>
    <d v="2023-06-14T00:00:00"/>
    <s v="CUST-0033"/>
    <s v="Nadia Hidayat"/>
    <s v="Consumer"/>
    <s v="Surabaya"/>
    <s v="Jawa Timur"/>
    <x v="2"/>
    <x v="2"/>
    <s v="Accessories"/>
    <s v="PROD-3744"/>
    <x v="4"/>
    <n v="1"/>
    <n v="118900"/>
    <n v="0.1"/>
    <n v="107010"/>
    <n v="71846.990000000005"/>
    <n v="35163.01"/>
    <s v="Bank Transfer"/>
    <x v="9"/>
    <n v="6"/>
    <n v="0.32859555181758715"/>
  </r>
  <r>
    <s v="ORD-00039"/>
    <d v="2024-11-08T00:00:00"/>
    <d v="2024-11-13T00:00:00"/>
    <s v="CUST-0195"/>
    <s v="Putri Pratama"/>
    <s v="Small Business"/>
    <s v="Semarang"/>
    <s v="Jawa Tengah"/>
    <x v="0"/>
    <x v="1"/>
    <s v="Chair"/>
    <s v="PROD-9951"/>
    <x v="19"/>
    <n v="6"/>
    <n v="1799900"/>
    <n v="0.1"/>
    <n v="9719460"/>
    <n v="7565061.8700000001"/>
    <n v="2154398.13"/>
    <s v="Cash"/>
    <x v="2"/>
    <n v="5"/>
    <n v="0.22165821249328665"/>
  </r>
  <r>
    <s v="ORD-00040"/>
    <d v="2024-12-21T00:00:00"/>
    <d v="2024-12-24T00:00:00"/>
    <s v="CUST-0208"/>
    <s v="Farhan Wijaya"/>
    <s v="Corporate"/>
    <s v="Medan"/>
    <s v="Sumatera Utara"/>
    <x v="1"/>
    <x v="0"/>
    <s v="Stationery"/>
    <s v="PROD-1004"/>
    <x v="10"/>
    <n v="2"/>
    <n v="25900"/>
    <n v="0.05"/>
    <n v="49210"/>
    <n v="25396"/>
    <n v="23814"/>
    <s v="Credit Card"/>
    <x v="23"/>
    <n v="3"/>
    <n v="0.48392603129445233"/>
  </r>
  <r>
    <s v="ORD-00041"/>
    <d v="2025-08-15T00:00:00"/>
    <d v="2025-08-17T00:00:00"/>
    <s v="CUST-0134"/>
    <s v="Maya Permata"/>
    <s v="Corporate"/>
    <s v="Malang"/>
    <s v="Jawa Timur"/>
    <x v="2"/>
    <x v="0"/>
    <s v="Paper"/>
    <s v="PROD-7955"/>
    <x v="8"/>
    <n v="1"/>
    <n v="57700"/>
    <n v="0.2"/>
    <n v="46160"/>
    <n v="30897.98"/>
    <n v="15262.02"/>
    <s v="Bank Transfer"/>
    <x v="12"/>
    <n v="2"/>
    <n v="0.3306330155979203"/>
  </r>
  <r>
    <s v="ORD-00042"/>
    <d v="2024-03-09T00:00:00"/>
    <d v="2024-03-13T00:00:00"/>
    <s v="CUST-0180"/>
    <s v="Hadi Ramadhan"/>
    <s v="Corporate"/>
    <s v="Yogyakarta"/>
    <s v="DI Yogyakarta"/>
    <x v="0"/>
    <x v="2"/>
    <s v="Accessories"/>
    <s v="PROD-1626"/>
    <x v="20"/>
    <n v="1"/>
    <n v="211100"/>
    <n v="0"/>
    <n v="211100"/>
    <n v="129208.97"/>
    <n v="81891.03"/>
    <s v="Cash"/>
    <x v="18"/>
    <n v="4"/>
    <n v="0.38792529606821413"/>
  </r>
  <r>
    <s v="ORD-00043"/>
    <d v="2023-05-21T00:00:00"/>
    <d v="2023-05-28T00:00:00"/>
    <s v="CUST-0059"/>
    <s v="Toni Putra"/>
    <s v="Small Business"/>
    <s v="Jakarta"/>
    <s v="DKI Jakarta"/>
    <x v="1"/>
    <x v="0"/>
    <s v="Paper"/>
    <s v="PROD-7955"/>
    <x v="8"/>
    <n v="5"/>
    <n v="60100"/>
    <n v="0"/>
    <n v="300500"/>
    <n v="167186.06"/>
    <n v="133313.94"/>
    <s v="Credit Card"/>
    <x v="22"/>
    <n v="7"/>
    <n v="0.4436403993344426"/>
  </r>
  <r>
    <s v="ORD-00044"/>
    <d v="2025-08-10T00:00:00"/>
    <d v="2025-08-16T00:00:00"/>
    <s v="CUST-0160"/>
    <s v="Toni Ramadhan"/>
    <s v="Corporate"/>
    <s v="Bogor"/>
    <s v="Jawa Barat"/>
    <x v="1"/>
    <x v="2"/>
    <s v="Accessories"/>
    <s v="PROD-4943"/>
    <x v="2"/>
    <n v="4"/>
    <n v="454000"/>
    <n v="0"/>
    <n v="1816000"/>
    <n v="1154325.8500000001"/>
    <n v="661674.15"/>
    <s v="Bank Transfer"/>
    <x v="12"/>
    <n v="6"/>
    <n v="0.36435801211453744"/>
  </r>
  <r>
    <s v="ORD-00045"/>
    <d v="2025-02-07T00:00:00"/>
    <d v="2025-02-11T00:00:00"/>
    <s v="CUST-0062"/>
    <s v="Rizky Anggraini"/>
    <s v="Corporate"/>
    <s v="Bandung"/>
    <s v="Jawa Barat"/>
    <x v="1"/>
    <x v="0"/>
    <s v="Writing"/>
    <s v="PROD-7529"/>
    <x v="0"/>
    <n v="1"/>
    <n v="72800"/>
    <n v="0.2"/>
    <n v="58240"/>
    <n v="40414.839999999997"/>
    <n v="17825.16"/>
    <s v="Credit Card"/>
    <x v="3"/>
    <n v="4"/>
    <n v="0.30606387362637361"/>
  </r>
  <r>
    <s v="ORD-00046"/>
    <d v="2023-03-26T00:00:00"/>
    <d v="2023-03-29T00:00:00"/>
    <s v="CUST-0186"/>
    <s v="Wulan Siregar"/>
    <s v="Consumer"/>
    <s v="Surabaya"/>
    <s v="Jawa Timur"/>
    <x v="2"/>
    <x v="1"/>
    <s v="Storage"/>
    <s v="PROD-2602"/>
    <x v="3"/>
    <n v="1"/>
    <n v="863400"/>
    <n v="0.05"/>
    <n v="820230"/>
    <n v="564778.19999999995"/>
    <n v="255451.8"/>
    <s v="E-Wallet"/>
    <x v="24"/>
    <n v="3"/>
    <n v="0.31143923045974908"/>
  </r>
  <r>
    <s v="ORD-00047"/>
    <d v="2025-07-30T00:00:00"/>
    <d v="2025-08-05T00:00:00"/>
    <s v="CUST-0138"/>
    <s v="Kartika Nugroho"/>
    <s v="Small Business"/>
    <s v="Medan"/>
    <s v="Sumatera Utara"/>
    <x v="1"/>
    <x v="2"/>
    <s v="Smartphone"/>
    <s v="PROD-2176"/>
    <x v="17"/>
    <n v="3"/>
    <n v="3527400"/>
    <n v="0.15"/>
    <n v="8994870"/>
    <n v="8126383.8600000003"/>
    <n v="868486.14"/>
    <s v="E-Wallet"/>
    <x v="19"/>
    <n v="6"/>
    <n v="9.6553495492430683E-2"/>
  </r>
  <r>
    <s v="ORD-00048"/>
    <d v="2024-05-17T00:00:00"/>
    <d v="2024-05-24T00:00:00"/>
    <s v="CUST-0167"/>
    <s v="Fajar Kusuma"/>
    <s v="Consumer"/>
    <s v="Denpasar"/>
    <s v="Bali"/>
    <x v="2"/>
    <x v="0"/>
    <s v="Binder"/>
    <s v="PROD-9396"/>
    <x v="21"/>
    <n v="3"/>
    <n v="39800"/>
    <n v="0.05"/>
    <n v="113430"/>
    <n v="60551.31"/>
    <n v="52878.69"/>
    <s v="Cash"/>
    <x v="15"/>
    <n v="7"/>
    <n v="0.46617905316053954"/>
  </r>
  <r>
    <s v="ORD-00049"/>
    <d v="2024-03-10T00:00:00"/>
    <d v="2024-03-13T00:00:00"/>
    <s v="CUST-0209"/>
    <s v="Putri Saputra"/>
    <s v="Small Business"/>
    <s v="Yogyakarta"/>
    <s v="DI Yogyakarta"/>
    <x v="0"/>
    <x v="0"/>
    <s v="Binder"/>
    <s v="PROD-7352"/>
    <x v="16"/>
    <n v="3"/>
    <n v="56800"/>
    <n v="0"/>
    <n v="170400"/>
    <n v="88630.06"/>
    <n v="81769.94"/>
    <s v="E-Wallet"/>
    <x v="18"/>
    <n v="3"/>
    <n v="0.47987053990610329"/>
  </r>
  <r>
    <s v="ORD-00050"/>
    <d v="2024-05-07T00:00:00"/>
    <d v="2024-05-13T00:00:00"/>
    <s v="CUST-0189"/>
    <s v="Putri Saputra"/>
    <s v="Consumer"/>
    <s v="Denpasar"/>
    <s v="Bali"/>
    <x v="2"/>
    <x v="1"/>
    <s v="Storage"/>
    <s v="PROD-2602"/>
    <x v="3"/>
    <n v="1"/>
    <n v="825400"/>
    <n v="0.1"/>
    <n v="742860"/>
    <n v="531041.24"/>
    <n v="211818.76"/>
    <s v="Bank Transfer"/>
    <x v="15"/>
    <n v="6"/>
    <n v="0.28513954177099321"/>
  </r>
  <r>
    <s v="ORD-00051"/>
    <d v="2025-12-23T00:00:00"/>
    <d v="2025-12-26T00:00:00"/>
    <s v="CUST-0062"/>
    <s v="Farhan Saputra"/>
    <s v="Consumer"/>
    <s v="Medan"/>
    <s v="Sumatera Utara"/>
    <x v="1"/>
    <x v="1"/>
    <s v="Storage"/>
    <s v="PROD-2602"/>
    <x v="3"/>
    <n v="1"/>
    <n v="831100"/>
    <n v="0"/>
    <n v="831100"/>
    <n v="526729.05000000005"/>
    <n v="304370.95"/>
    <s v="Cash"/>
    <x v="25"/>
    <n v="3"/>
    <n v="0.36622662736132838"/>
  </r>
  <r>
    <s v="ORD-00052"/>
    <d v="2024-01-15T00:00:00"/>
    <d v="2024-01-17T00:00:00"/>
    <s v="CUST-0155"/>
    <s v="Aldi Mahendra"/>
    <s v="Corporate"/>
    <s v="Yogyakarta"/>
    <s v="DI Yogyakarta"/>
    <x v="0"/>
    <x v="2"/>
    <s v="Printer"/>
    <s v="PROD-5410"/>
    <x v="11"/>
    <n v="10"/>
    <n v="1570600"/>
    <n v="0"/>
    <n v="15706000"/>
    <n v="11273428.619999999"/>
    <n v="4432571.38"/>
    <s v="E-Wallet"/>
    <x v="26"/>
    <n v="2"/>
    <n v="0.28222153189863747"/>
  </r>
  <r>
    <s v="ORD-00053"/>
    <d v="2025-12-29T00:00:00"/>
    <d v="2025-12-31T00:00:00"/>
    <s v="CUST-0146"/>
    <s v="Putri Kusuma"/>
    <s v="Consumer"/>
    <s v="Medan"/>
    <s v="Sumatera Utara"/>
    <x v="1"/>
    <x v="2"/>
    <s v="Laptop"/>
    <s v="PROD-7745"/>
    <x v="14"/>
    <n v="3"/>
    <n v="8738000"/>
    <n v="0"/>
    <n v="26214000"/>
    <n v="19457176.66"/>
    <n v="6756823.3399999999"/>
    <s v="Credit Card"/>
    <x v="25"/>
    <n v="2"/>
    <n v="0.25775628824292363"/>
  </r>
  <r>
    <s v="ORD-00054"/>
    <d v="2025-06-21T00:00:00"/>
    <d v="2025-06-24T00:00:00"/>
    <s v="CUST-0028"/>
    <s v="Eka Wijaya"/>
    <s v="Small Business"/>
    <s v="Yogyakarta"/>
    <s v="DI Yogyakarta"/>
    <x v="0"/>
    <x v="2"/>
    <s v="Laptop"/>
    <s v="PROD-7745"/>
    <x v="14"/>
    <n v="1"/>
    <n v="7497900"/>
    <n v="0.05"/>
    <n v="7123005"/>
    <n v="5994645.6200000001"/>
    <n v="1128359.3799999999"/>
    <s v="Cash"/>
    <x v="7"/>
    <n v="3"/>
    <n v="0.15841058373537573"/>
  </r>
  <r>
    <s v="ORD-00055"/>
    <d v="2024-09-14T00:00:00"/>
    <d v="2024-09-15T00:00:00"/>
    <s v="CUST-0220"/>
    <s v="Joko Anggraini"/>
    <s v="Corporate"/>
    <s v="Medan"/>
    <s v="Sumatera Utara"/>
    <x v="1"/>
    <x v="0"/>
    <s v="Paper"/>
    <s v="PROD-9601"/>
    <x v="9"/>
    <n v="4"/>
    <n v="74800"/>
    <n v="0.2"/>
    <n v="239360"/>
    <n v="171567.39"/>
    <n v="67792.61"/>
    <s v="Credit Card"/>
    <x v="16"/>
    <n v="1"/>
    <n v="0.28322447359625669"/>
  </r>
  <r>
    <s v="ORD-00056"/>
    <d v="2023-05-04T00:00:00"/>
    <d v="2023-05-09T00:00:00"/>
    <s v="CUST-0002"/>
    <s v="Nadia Kusuma"/>
    <s v="Corporate"/>
    <s v="Semarang"/>
    <s v="Jawa Tengah"/>
    <x v="0"/>
    <x v="0"/>
    <s v="Paper"/>
    <s v="PROD-9601"/>
    <x v="9"/>
    <n v="3"/>
    <n v="71000"/>
    <n v="0"/>
    <n v="213000"/>
    <n v="118568.56"/>
    <n v="94431.44"/>
    <s v="E-Wallet"/>
    <x v="22"/>
    <n v="5"/>
    <n v="0.44334009389671364"/>
  </r>
  <r>
    <s v="ORD-00057"/>
    <d v="2025-08-20T00:00:00"/>
    <d v="2025-08-23T00:00:00"/>
    <s v="CUST-0102"/>
    <s v="Nadia Santoso"/>
    <s v="Corporate"/>
    <s v="Yogyakarta"/>
    <s v="DI Yogyakarta"/>
    <x v="0"/>
    <x v="2"/>
    <s v="Accessories"/>
    <s v="PROD-3744"/>
    <x v="4"/>
    <n v="1"/>
    <n v="118900"/>
    <n v="0"/>
    <n v="118900"/>
    <n v="72607.48"/>
    <n v="46292.52"/>
    <s v="Cash"/>
    <x v="12"/>
    <n v="3"/>
    <n v="0.3893399495374264"/>
  </r>
  <r>
    <s v="ORD-00058"/>
    <d v="2024-04-05T00:00:00"/>
    <d v="2024-04-11T00:00:00"/>
    <s v="CUST-0225"/>
    <s v="Dewi Kusuma"/>
    <s v="Consumer"/>
    <s v="Bogor"/>
    <s v="Jawa Barat"/>
    <x v="1"/>
    <x v="2"/>
    <s v="Accessories"/>
    <s v="PROD-3744"/>
    <x v="4"/>
    <n v="4"/>
    <n v="128900"/>
    <n v="0.2"/>
    <n v="412480"/>
    <n v="319908.09999999998"/>
    <n v="92571.9"/>
    <s v="Credit Card"/>
    <x v="1"/>
    <n v="6"/>
    <n v="0.2244276086113266"/>
  </r>
  <r>
    <s v="ORD-00059"/>
    <d v="2024-09-14T00:00:00"/>
    <d v="2024-09-20T00:00:00"/>
    <s v="CUST-0129"/>
    <s v="Aldi Santoso"/>
    <s v="Corporate"/>
    <s v="Medan"/>
    <s v="Sumatera Utara"/>
    <x v="1"/>
    <x v="1"/>
    <s v="Desk"/>
    <s v="PROD-6903"/>
    <x v="13"/>
    <n v="1"/>
    <n v="1136000"/>
    <n v="0.05"/>
    <n v="1079200"/>
    <n v="754956.3"/>
    <n v="324243.7"/>
    <s v="Cash"/>
    <x v="16"/>
    <n v="6"/>
    <n v="0.30044820237212749"/>
  </r>
  <r>
    <s v="ORD-00060"/>
    <d v="2024-04-13T00:00:00"/>
    <d v="2024-04-19T00:00:00"/>
    <s v="CUST-0224"/>
    <s v="Wulan Nugroho"/>
    <s v="Corporate"/>
    <s v="Yogyakarta"/>
    <s v="DI Yogyakarta"/>
    <x v="0"/>
    <x v="0"/>
    <s v="Paper"/>
    <s v="PROD-7955"/>
    <x v="8"/>
    <n v="2"/>
    <n v="60500"/>
    <n v="0.25"/>
    <n v="90750"/>
    <n v="64792.65"/>
    <n v="25957.35"/>
    <s v="Credit Card"/>
    <x v="1"/>
    <n v="6"/>
    <n v="0.28603140495867768"/>
  </r>
  <r>
    <s v="ORD-00061"/>
    <d v="2025-10-04T00:00:00"/>
    <d v="2025-10-05T00:00:00"/>
    <s v="CUST-0206"/>
    <s v="Anisa Utami"/>
    <s v="Consumer"/>
    <s v="Surabaya"/>
    <s v="Jawa Timur"/>
    <x v="2"/>
    <x v="1"/>
    <s v="Desk"/>
    <s v="PROD-4040"/>
    <x v="7"/>
    <n v="5"/>
    <n v="3063600"/>
    <n v="0.1"/>
    <n v="13786200"/>
    <n v="10588227.74"/>
    <n v="3197972.26"/>
    <s v="Bank Transfer"/>
    <x v="27"/>
    <n v="1"/>
    <n v="0.2319690893792343"/>
  </r>
  <r>
    <s v="ORD-00062"/>
    <d v="2023-03-17T00:00:00"/>
    <d v="2023-03-21T00:00:00"/>
    <s v="CUST-0237"/>
    <s v="Nadia Pratama"/>
    <s v="Consumer"/>
    <s v="Surabaya"/>
    <s v="Jawa Timur"/>
    <x v="2"/>
    <x v="2"/>
    <s v="Accessories"/>
    <s v="PROD-3744"/>
    <x v="4"/>
    <n v="5"/>
    <n v="135200"/>
    <n v="0"/>
    <n v="676000"/>
    <n v="416788.01"/>
    <n v="259211.99"/>
    <s v="Cash"/>
    <x v="24"/>
    <n v="4"/>
    <n v="0.38344968934911239"/>
  </r>
  <r>
    <s v="ORD-00063"/>
    <d v="2024-01-20T00:00:00"/>
    <d v="2024-01-25T00:00:00"/>
    <s v="CUST-0249"/>
    <s v="Dewi Pratama"/>
    <s v="Corporate"/>
    <s v="Denpasar"/>
    <s v="Bali"/>
    <x v="2"/>
    <x v="1"/>
    <s v="Desk"/>
    <s v="PROD-4040"/>
    <x v="7"/>
    <n v="1"/>
    <n v="2925800"/>
    <n v="0"/>
    <n v="2925800"/>
    <n v="2180180.4700000002"/>
    <n v="745619.53"/>
    <s v="Credit Card"/>
    <x v="26"/>
    <n v="5"/>
    <n v="0.2548429591906487"/>
  </r>
  <r>
    <s v="ORD-00064"/>
    <d v="2024-05-05T00:00:00"/>
    <d v="2024-05-11T00:00:00"/>
    <s v="CUST-0079"/>
    <s v="Putri Siregar"/>
    <s v="Consumer"/>
    <s v="Medan"/>
    <s v="Sumatera Utara"/>
    <x v="1"/>
    <x v="2"/>
    <s v="Laptop"/>
    <s v="PROD-7745"/>
    <x v="14"/>
    <n v="10"/>
    <n v="9026900"/>
    <n v="0.05"/>
    <n v="85755550"/>
    <n v="67964529.150000006"/>
    <n v="17791020.850000001"/>
    <s v="Credit Card"/>
    <x v="15"/>
    <n v="6"/>
    <n v="0.20746203423568504"/>
  </r>
  <r>
    <s v="ORD-00065"/>
    <d v="2024-08-20T00:00:00"/>
    <d v="2024-08-25T00:00:00"/>
    <s v="CUST-0070"/>
    <s v="Bayu Santoso"/>
    <s v="Small Business"/>
    <s v="Denpasar"/>
    <s v="Bali"/>
    <x v="2"/>
    <x v="0"/>
    <s v="Stationery"/>
    <s v="PROD-1004"/>
    <x v="10"/>
    <n v="2"/>
    <n v="25200"/>
    <n v="0"/>
    <n v="50400"/>
    <n v="25385.49"/>
    <n v="25014.51"/>
    <s v="Credit Card"/>
    <x v="28"/>
    <n v="5"/>
    <n v="0.49631964285714281"/>
  </r>
  <r>
    <s v="ORD-00066"/>
    <d v="2024-07-19T00:00:00"/>
    <d v="2024-07-26T00:00:00"/>
    <s v="CUST-0251"/>
    <s v="Bayu Wijaya"/>
    <s v="Small Business"/>
    <s v="Surabaya"/>
    <s v="Jawa Timur"/>
    <x v="2"/>
    <x v="0"/>
    <s v="Stationery"/>
    <s v="PROD-1004"/>
    <x v="10"/>
    <n v="5"/>
    <n v="26000"/>
    <n v="0"/>
    <n v="130000"/>
    <n v="65375.43"/>
    <n v="64624.57"/>
    <s v="E-Wallet"/>
    <x v="29"/>
    <n v="7"/>
    <n v="0.49711207692307691"/>
  </r>
  <r>
    <s v="ORD-00067"/>
    <d v="2025-07-03T00:00:00"/>
    <d v="2025-07-08T00:00:00"/>
    <s v="CUST-0197"/>
    <s v="Hadi Nugroho"/>
    <s v="Corporate"/>
    <s v="Medan"/>
    <s v="Sumatera Utara"/>
    <x v="1"/>
    <x v="1"/>
    <s v="Desk"/>
    <s v="PROD-6903"/>
    <x v="13"/>
    <n v="2"/>
    <n v="1213500"/>
    <n v="0"/>
    <n v="2427000"/>
    <n v="1692230.88"/>
    <n v="734769.12"/>
    <s v="Cash"/>
    <x v="19"/>
    <n v="5"/>
    <n v="0.30274788627935723"/>
  </r>
  <r>
    <s v="ORD-00068"/>
    <d v="2025-04-21T00:00:00"/>
    <d v="2025-04-22T00:00:00"/>
    <s v="CUST-0052"/>
    <s v="Bayu Nugroho"/>
    <s v="Consumer"/>
    <s v="Malang"/>
    <s v="Jawa Timur"/>
    <x v="2"/>
    <x v="2"/>
    <s v="Printer"/>
    <s v="PROD-5410"/>
    <x v="11"/>
    <n v="2"/>
    <n v="1316800"/>
    <n v="0.05"/>
    <n v="2501920"/>
    <n v="1946864.8"/>
    <n v="555055.19999999995"/>
    <s v="Credit Card"/>
    <x v="5"/>
    <n v="1"/>
    <n v="0.22185169789601583"/>
  </r>
  <r>
    <s v="ORD-00069"/>
    <d v="2025-06-20T00:00:00"/>
    <d v="2025-06-21T00:00:00"/>
    <s v="CUST-0136"/>
    <s v="Kartika Anggraini"/>
    <s v="Corporate"/>
    <s v="Jakarta"/>
    <s v="DKI Jakarta"/>
    <x v="1"/>
    <x v="1"/>
    <s v="Desk"/>
    <s v="PROD-4040"/>
    <x v="7"/>
    <n v="5"/>
    <n v="3507200"/>
    <n v="0"/>
    <n v="17536000"/>
    <n v="12908579.300000001"/>
    <n v="4627420.7"/>
    <s v="Cash"/>
    <x v="7"/>
    <n v="1"/>
    <n v="0.26388119867700732"/>
  </r>
  <r>
    <s v="ORD-00070"/>
    <d v="2025-03-25T00:00:00"/>
    <d v="2025-03-31T00:00:00"/>
    <s v="CUST-0036"/>
    <s v="Hadi Ramadhan"/>
    <s v="Consumer"/>
    <s v="Medan"/>
    <s v="Sumatera Utara"/>
    <x v="1"/>
    <x v="2"/>
    <s v="Accessories"/>
    <s v="PROD-4943"/>
    <x v="2"/>
    <n v="3"/>
    <n v="531200"/>
    <n v="0.05"/>
    <n v="1513920"/>
    <n v="1008120.75"/>
    <n v="505799.25"/>
    <s v="E-Wallet"/>
    <x v="20"/>
    <n v="6"/>
    <n v="0.33409906071655043"/>
  </r>
  <r>
    <s v="ORD-00071"/>
    <d v="2024-08-11T00:00:00"/>
    <d v="2024-08-13T00:00:00"/>
    <s v="CUST-0029"/>
    <s v="Joko Permata"/>
    <s v="Corporate"/>
    <s v="Bandung"/>
    <s v="Jawa Barat"/>
    <x v="1"/>
    <x v="0"/>
    <s v="Stationery"/>
    <s v="PROD-1004"/>
    <x v="10"/>
    <n v="2"/>
    <n v="28400"/>
    <n v="0.2"/>
    <n v="45440"/>
    <n v="26606.799999999999"/>
    <n v="18833.2"/>
    <s v="Bank Transfer"/>
    <x v="28"/>
    <n v="2"/>
    <n v="0.41446302816901409"/>
  </r>
  <r>
    <s v="ORD-00072"/>
    <d v="2025-02-06T00:00:00"/>
    <d v="2025-02-10T00:00:00"/>
    <s v="CUST-0124"/>
    <s v="Putri Siregar"/>
    <s v="Corporate"/>
    <s v="Makassar"/>
    <s v="Sulawesi Selatan"/>
    <x v="2"/>
    <x v="2"/>
    <s v="Accessories"/>
    <s v="PROD-1626"/>
    <x v="20"/>
    <n v="1"/>
    <n v="211000"/>
    <n v="0.2"/>
    <n v="168800"/>
    <n v="130469.19"/>
    <n v="38330.81"/>
    <s v="Credit Card"/>
    <x v="3"/>
    <n v="4"/>
    <n v="0.22707825829383885"/>
  </r>
  <r>
    <s v="ORD-00073"/>
    <d v="2023-10-21T00:00:00"/>
    <d v="2023-10-23T00:00:00"/>
    <s v="CUST-0038"/>
    <s v="Oki Permata"/>
    <s v="Consumer"/>
    <s v="Denpasar"/>
    <s v="Bali"/>
    <x v="2"/>
    <x v="1"/>
    <s v="Desk"/>
    <s v="PROD-6903"/>
    <x v="13"/>
    <n v="6"/>
    <n v="1252900"/>
    <n v="0"/>
    <n v="7517400"/>
    <n v="5142718.72"/>
    <n v="2374681.2799999998"/>
    <s v="Bank Transfer"/>
    <x v="30"/>
    <n v="2"/>
    <n v="0.31589130284406841"/>
  </r>
  <r>
    <s v="ORD-00074"/>
    <d v="2024-09-04T00:00:00"/>
    <d v="2024-09-10T00:00:00"/>
    <s v="CUST-0184"/>
    <s v="Toni Lestari"/>
    <s v="Small Business"/>
    <s v="Denpasar"/>
    <s v="Bali"/>
    <x v="2"/>
    <x v="0"/>
    <s v="Binder"/>
    <s v="PROD-9396"/>
    <x v="21"/>
    <n v="10"/>
    <n v="41300"/>
    <n v="0"/>
    <n v="413000"/>
    <n v="206412.72"/>
    <n v="206587.28"/>
    <s v="Credit Card"/>
    <x v="16"/>
    <n v="6"/>
    <n v="0.50021133171912835"/>
  </r>
  <r>
    <s v="ORD-00075"/>
    <d v="2024-08-27T00:00:00"/>
    <d v="2024-08-28T00:00:00"/>
    <s v="CUST-0118"/>
    <s v="Vina Utami"/>
    <s v="Consumer"/>
    <s v="Yogyakarta"/>
    <s v="DI Yogyakarta"/>
    <x v="0"/>
    <x v="0"/>
    <s v="Stationery"/>
    <s v="PROD-1004"/>
    <x v="10"/>
    <n v="6"/>
    <n v="28700"/>
    <n v="0.2"/>
    <n v="137760"/>
    <n v="90063.52"/>
    <n v="47696.480000000003"/>
    <s v="Bank Transfer"/>
    <x v="28"/>
    <n v="1"/>
    <n v="0.34622880371660864"/>
  </r>
  <r>
    <s v="ORD-00076"/>
    <d v="2024-12-22T00:00:00"/>
    <d v="2024-12-24T00:00:00"/>
    <s v="CUST-0047"/>
    <s v="Rian Lestari"/>
    <s v="Corporate"/>
    <s v="Bogor"/>
    <s v="Jawa Barat"/>
    <x v="1"/>
    <x v="0"/>
    <s v="Binder"/>
    <s v="PROD-9396"/>
    <x v="21"/>
    <n v="2"/>
    <n v="37900"/>
    <n v="0.1"/>
    <n v="68220"/>
    <n v="39613.339999999997"/>
    <n v="28606.66"/>
    <s v="Bank Transfer"/>
    <x v="23"/>
    <n v="2"/>
    <n v="0.41932952213427149"/>
  </r>
  <r>
    <s v="ORD-00077"/>
    <d v="2024-10-31T00:00:00"/>
    <d v="2024-11-06T00:00:00"/>
    <s v="CUST-0247"/>
    <s v="Rizky Lestari"/>
    <s v="Corporate"/>
    <s v="Bogor"/>
    <s v="Jawa Barat"/>
    <x v="1"/>
    <x v="1"/>
    <s v="Chair"/>
    <s v="PROD-0956"/>
    <x v="6"/>
    <n v="2"/>
    <n v="715600"/>
    <n v="0.2"/>
    <n v="1144960"/>
    <n v="900768.53"/>
    <n v="244191.47"/>
    <s v="E-Wallet"/>
    <x v="21"/>
    <n v="6"/>
    <n v="0.21327511004751257"/>
  </r>
  <r>
    <s v="ORD-00078"/>
    <d v="2024-11-24T00:00:00"/>
    <d v="2024-12-01T00:00:00"/>
    <s v="CUST-0188"/>
    <s v="Citra Utami"/>
    <s v="Corporate"/>
    <s v="Bogor"/>
    <s v="Jawa Barat"/>
    <x v="1"/>
    <x v="2"/>
    <s v="Laptop"/>
    <s v="PROD-8448"/>
    <x v="12"/>
    <n v="5"/>
    <n v="6461900"/>
    <n v="0.3"/>
    <n v="22616650"/>
    <n v="27805428.199999999"/>
    <n v="-5188778.2"/>
    <s v="Credit Card"/>
    <x v="2"/>
    <n v="7"/>
    <n v="-0.22942293398889757"/>
  </r>
  <r>
    <s v="ORD-00079"/>
    <d v="2025-03-19T00:00:00"/>
    <d v="2025-03-20T00:00:00"/>
    <s v="CUST-0120"/>
    <s v="Putri Pratama"/>
    <s v="Consumer"/>
    <s v="Denpasar"/>
    <s v="Bali"/>
    <x v="2"/>
    <x v="2"/>
    <s v="Laptop"/>
    <s v="PROD-8448"/>
    <x v="12"/>
    <n v="3"/>
    <n v="6593700"/>
    <n v="0.25"/>
    <n v="14835825"/>
    <n v="15256529.33"/>
    <n v="-420704.33"/>
    <s v="E-Wallet"/>
    <x v="20"/>
    <n v="1"/>
    <n v="-2.8357326269351384E-2"/>
  </r>
  <r>
    <s v="ORD-00080"/>
    <d v="2024-11-02T00:00:00"/>
    <d v="2024-11-07T00:00:00"/>
    <s v="CUST-0253"/>
    <s v="Dewi Santoso"/>
    <s v="Small Business"/>
    <s v="Denpasar"/>
    <s v="Bali"/>
    <x v="2"/>
    <x v="2"/>
    <s v="Laptop"/>
    <s v="PROD-8448"/>
    <x v="12"/>
    <n v="3"/>
    <n v="5646600"/>
    <n v="0"/>
    <n v="16939800"/>
    <n v="12939806.07"/>
    <n v="3999993.93"/>
    <s v="E-Wallet"/>
    <x v="2"/>
    <n v="5"/>
    <n v="0.23612993836999258"/>
  </r>
  <r>
    <s v="ORD-00081"/>
    <d v="2024-04-25T00:00:00"/>
    <d v="2024-04-30T00:00:00"/>
    <s v="CUST-0251"/>
    <s v="Vina Hidayat"/>
    <s v="Corporate"/>
    <s v="Surabaya"/>
    <s v="Jawa Timur"/>
    <x v="2"/>
    <x v="2"/>
    <s v="Printer"/>
    <s v="PROD-5410"/>
    <x v="11"/>
    <n v="3"/>
    <n v="1536800"/>
    <n v="0.2"/>
    <n v="3688320"/>
    <n v="3436134.3"/>
    <n v="252185.7"/>
    <s v="Cash"/>
    <x v="1"/>
    <n v="5"/>
    <n v="6.8374137818844355E-2"/>
  </r>
  <r>
    <s v="ORD-00082"/>
    <d v="2024-07-26T00:00:00"/>
    <d v="2024-07-27T00:00:00"/>
    <s v="CUST-0184"/>
    <s v="Bima Hidayat"/>
    <s v="Consumer"/>
    <s v="Denpasar"/>
    <s v="Bali"/>
    <x v="2"/>
    <x v="0"/>
    <s v="Writing"/>
    <s v="PROD-7529"/>
    <x v="0"/>
    <n v="5"/>
    <n v="62700"/>
    <n v="0.1"/>
    <n v="282150"/>
    <n v="172807.94"/>
    <n v="109342.06"/>
    <s v="Credit Card"/>
    <x v="29"/>
    <n v="1"/>
    <n v="0.38753166755272017"/>
  </r>
  <r>
    <s v="ORD-00083"/>
    <d v="2024-07-19T00:00:00"/>
    <d v="2024-07-21T00:00:00"/>
    <s v="CUST-0106"/>
    <s v="Citra Nugroho"/>
    <s v="Corporate"/>
    <s v="Bandung"/>
    <s v="Jawa Barat"/>
    <x v="1"/>
    <x v="0"/>
    <s v="Stationery"/>
    <s v="PROD-5388"/>
    <x v="18"/>
    <n v="1"/>
    <n v="111900"/>
    <n v="0.3"/>
    <n v="78330"/>
    <n v="67119.31"/>
    <n v="11210.69"/>
    <s v="Bank Transfer"/>
    <x v="29"/>
    <n v="2"/>
    <n v="0.14312128175667049"/>
  </r>
  <r>
    <s v="ORD-00084"/>
    <d v="2024-02-29T00:00:00"/>
    <d v="2024-03-05T00:00:00"/>
    <s v="CUST-0090"/>
    <s v="Dewi Ramadhan"/>
    <s v="Corporate"/>
    <s v="Surabaya"/>
    <s v="Jawa Timur"/>
    <x v="2"/>
    <x v="2"/>
    <s v="Smartphone"/>
    <s v="PROD-6076"/>
    <x v="15"/>
    <n v="1"/>
    <n v="5247500"/>
    <n v="0.3"/>
    <n v="3673250"/>
    <n v="4015234.86"/>
    <n v="-341984.86"/>
    <s v="Bank Transfer"/>
    <x v="10"/>
    <n v="5"/>
    <n v="-9.3101438780371595E-2"/>
  </r>
  <r>
    <s v="ORD-00085"/>
    <d v="2023-02-22T00:00:00"/>
    <d v="2023-02-24T00:00:00"/>
    <s v="CUST-0033"/>
    <s v="Putri Kusuma"/>
    <s v="Consumer"/>
    <s v="Makassar"/>
    <s v="Sulawesi Selatan"/>
    <x v="2"/>
    <x v="2"/>
    <s v="Smartphone"/>
    <s v="PROD-6076"/>
    <x v="15"/>
    <n v="1"/>
    <n v="4361100"/>
    <n v="0.05"/>
    <n v="4143045"/>
    <n v="3155608.26"/>
    <n v="987436.74"/>
    <s v="Credit Card"/>
    <x v="31"/>
    <n v="2"/>
    <n v="0.23833599200587974"/>
  </r>
  <r>
    <s v="ORD-00086"/>
    <d v="2025-01-11T00:00:00"/>
    <d v="2025-01-16T00:00:00"/>
    <s v="CUST-0016"/>
    <s v="Bima Kusuma"/>
    <s v="Consumer"/>
    <s v="Medan"/>
    <s v="Sumatera Utara"/>
    <x v="1"/>
    <x v="1"/>
    <s v="Desk"/>
    <s v="PROD-4040"/>
    <x v="7"/>
    <n v="4"/>
    <n v="3464800"/>
    <n v="0.1"/>
    <n v="12473280"/>
    <n v="9596780.3100000005"/>
    <n v="2876499.69"/>
    <s v="Bank Transfer"/>
    <x v="17"/>
    <n v="5"/>
    <n v="0.23061293340644962"/>
  </r>
  <r>
    <s v="ORD-00087"/>
    <d v="2025-04-02T00:00:00"/>
    <d v="2025-04-06T00:00:00"/>
    <s v="CUST-0167"/>
    <s v="Maya Anggraini"/>
    <s v="Consumer"/>
    <s v="Denpasar"/>
    <s v="Bali"/>
    <x v="2"/>
    <x v="0"/>
    <s v="Stationery"/>
    <s v="PROD-5388"/>
    <x v="18"/>
    <n v="2"/>
    <n v="107300"/>
    <n v="0"/>
    <n v="214600"/>
    <n v="126133.71"/>
    <n v="88466.29"/>
    <s v="Bank Transfer"/>
    <x v="5"/>
    <n v="4"/>
    <n v="0.41223807082945013"/>
  </r>
  <r>
    <s v="ORD-00088"/>
    <d v="2025-12-22T00:00:00"/>
    <d v="2025-12-25T00:00:00"/>
    <s v="CUST-0111"/>
    <s v="Nadia Kusuma"/>
    <s v="Consumer"/>
    <s v="Malang"/>
    <s v="Jawa Timur"/>
    <x v="2"/>
    <x v="1"/>
    <s v="Storage"/>
    <s v="PROD-7524"/>
    <x v="1"/>
    <n v="5"/>
    <n v="1022300"/>
    <n v="0.15"/>
    <n v="4344775"/>
    <n v="3627745.27"/>
    <n v="717029.73"/>
    <s v="Bank Transfer"/>
    <x v="25"/>
    <n v="3"/>
    <n v="0.16503264956183"/>
  </r>
  <r>
    <s v="ORD-00089"/>
    <d v="2024-04-12T00:00:00"/>
    <d v="2024-04-16T00:00:00"/>
    <s v="CUST-0243"/>
    <s v="Citra Santoso"/>
    <s v="Consumer"/>
    <s v="Malang"/>
    <s v="Jawa Timur"/>
    <x v="2"/>
    <x v="2"/>
    <s v="Printer"/>
    <s v="PROD-5410"/>
    <x v="11"/>
    <n v="2"/>
    <n v="1404700"/>
    <n v="0"/>
    <n v="2809400"/>
    <n v="2172386.14"/>
    <n v="637013.86"/>
    <s v="Bank Transfer"/>
    <x v="1"/>
    <n v="4"/>
    <n v="0.22674373887662846"/>
  </r>
  <r>
    <s v="ORD-00090"/>
    <d v="2023-06-24T00:00:00"/>
    <d v="2023-06-25T00:00:00"/>
    <s v="CUST-0182"/>
    <s v="Bayu Ramadhan"/>
    <s v="Corporate"/>
    <s v="Surabaya"/>
    <s v="Jawa Timur"/>
    <x v="2"/>
    <x v="1"/>
    <s v="Storage"/>
    <s v="PROD-2602"/>
    <x v="3"/>
    <n v="3"/>
    <n v="890500"/>
    <n v="0.05"/>
    <n v="2537925"/>
    <n v="1677243.95"/>
    <n v="860681.05"/>
    <s v="Bank Transfer"/>
    <x v="9"/>
    <n v="1"/>
    <n v="0.33912785050779676"/>
  </r>
  <r>
    <s v="ORD-00091"/>
    <d v="2025-05-16T00:00:00"/>
    <d v="2025-05-23T00:00:00"/>
    <s v="CUST-0056"/>
    <s v="Lina Nugroho"/>
    <s v="Corporate"/>
    <s v="Yogyakarta"/>
    <s v="DI Yogyakarta"/>
    <x v="0"/>
    <x v="0"/>
    <s v="Paper"/>
    <s v="PROD-7955"/>
    <x v="8"/>
    <n v="1"/>
    <n v="58700"/>
    <n v="0"/>
    <n v="58700"/>
    <n v="32694.52"/>
    <n v="26005.48"/>
    <s v="E-Wallet"/>
    <x v="6"/>
    <n v="7"/>
    <n v="0.44302350936967633"/>
  </r>
  <r>
    <s v="ORD-00092"/>
    <d v="2025-01-22T00:00:00"/>
    <d v="2025-01-23T00:00:00"/>
    <s v="CUST-0140"/>
    <s v="Zahra Utami"/>
    <s v="Small Business"/>
    <s v="Malang"/>
    <s v="Jawa Timur"/>
    <x v="2"/>
    <x v="0"/>
    <s v="Writing"/>
    <s v="PROD-7529"/>
    <x v="0"/>
    <n v="3"/>
    <n v="71000"/>
    <n v="0.1"/>
    <n v="191700"/>
    <n v="109701.93"/>
    <n v="81998.070000000007"/>
    <s v="Bank Transfer"/>
    <x v="17"/>
    <n v="1"/>
    <n v="0.42774162754303602"/>
  </r>
  <r>
    <s v="ORD-00093"/>
    <d v="2024-09-24T00:00:00"/>
    <d v="2024-09-27T00:00:00"/>
    <s v="CUST-0111"/>
    <s v="Maya Hidayat"/>
    <s v="Corporate"/>
    <s v="Bogor"/>
    <s v="Jawa Barat"/>
    <x v="1"/>
    <x v="1"/>
    <s v="Chair"/>
    <s v="PROD-0956"/>
    <x v="6"/>
    <n v="1"/>
    <n v="691000"/>
    <n v="0.3"/>
    <n v="483700"/>
    <n v="425403.26"/>
    <n v="58296.74"/>
    <s v="Cash"/>
    <x v="16"/>
    <n v="3"/>
    <n v="0.12052251395493074"/>
  </r>
  <r>
    <s v="ORD-00094"/>
    <d v="2025-07-18T00:00:00"/>
    <d v="2025-07-21T00:00:00"/>
    <s v="CUST-0042"/>
    <s v="Indra Kusuma"/>
    <s v="Corporate"/>
    <s v="Surabaya"/>
    <s v="Jawa Timur"/>
    <x v="2"/>
    <x v="2"/>
    <s v="Accessories"/>
    <s v="PROD-3744"/>
    <x v="4"/>
    <n v="5"/>
    <n v="116800"/>
    <n v="0.15"/>
    <n v="496400"/>
    <n v="323975.21999999997"/>
    <n v="172424.78"/>
    <s v="Bank Transfer"/>
    <x v="19"/>
    <n v="3"/>
    <n v="0.34735048348106368"/>
  </r>
  <r>
    <s v="ORD-00095"/>
    <d v="2025-05-18T00:00:00"/>
    <d v="2025-05-22T00:00:00"/>
    <s v="CUST-0158"/>
    <s v="Bima Putra"/>
    <s v="Consumer"/>
    <s v="Yogyakarta"/>
    <s v="DI Yogyakarta"/>
    <x v="0"/>
    <x v="1"/>
    <s v="Desk"/>
    <s v="PROD-4040"/>
    <x v="7"/>
    <n v="2"/>
    <n v="2911800"/>
    <n v="0.1"/>
    <n v="5241240"/>
    <n v="4187024.07"/>
    <n v="1054215.93"/>
    <s v="Bank Transfer"/>
    <x v="6"/>
    <n v="4"/>
    <n v="0.20113864848776242"/>
  </r>
  <r>
    <s v="ORD-00096"/>
    <d v="2025-03-20T00:00:00"/>
    <d v="2025-03-25T00:00:00"/>
    <s v="CUST-0221"/>
    <s v="Fajar Wijaya"/>
    <s v="Small Business"/>
    <s v="Yogyakarta"/>
    <s v="DI Yogyakarta"/>
    <x v="0"/>
    <x v="2"/>
    <s v="Smartphone"/>
    <s v="PROD-6076"/>
    <x v="15"/>
    <n v="4"/>
    <n v="4529300"/>
    <n v="0"/>
    <n v="18117200"/>
    <n v="13787099.869999999"/>
    <n v="4330100.13"/>
    <s v="Credit Card"/>
    <x v="20"/>
    <n v="5"/>
    <n v="0.23900493067361403"/>
  </r>
  <r>
    <s v="ORD-00097"/>
    <d v="2025-02-17T00:00:00"/>
    <d v="2025-02-22T00:00:00"/>
    <s v="CUST-0220"/>
    <s v="Toni Hidayat"/>
    <s v="Consumer"/>
    <s v="Bandung"/>
    <s v="Jawa Barat"/>
    <x v="1"/>
    <x v="0"/>
    <s v="Binder"/>
    <s v="PROD-7352"/>
    <x v="16"/>
    <n v="2"/>
    <n v="56100"/>
    <n v="0"/>
    <n v="112200"/>
    <n v="58912.84"/>
    <n v="53287.16"/>
    <s v="Bank Transfer"/>
    <x v="3"/>
    <n v="5"/>
    <n v="0.4749301247771836"/>
  </r>
  <r>
    <s v="ORD-00098"/>
    <d v="2025-05-05T00:00:00"/>
    <d v="2025-05-08T00:00:00"/>
    <s v="CUST-0125"/>
    <s v="Nadia Anggraini"/>
    <s v="Consumer"/>
    <s v="Surabaya"/>
    <s v="Jawa Timur"/>
    <x v="2"/>
    <x v="2"/>
    <s v="Laptop"/>
    <s v="PROD-7745"/>
    <x v="14"/>
    <n v="5"/>
    <n v="9039300"/>
    <n v="0"/>
    <n v="45196500"/>
    <n v="37360815.07"/>
    <n v="7835684.9299999997"/>
    <s v="Cash"/>
    <x v="6"/>
    <n v="3"/>
    <n v="0.17336928589603176"/>
  </r>
  <r>
    <s v="ORD-00099"/>
    <d v="2025-03-31T00:00:00"/>
    <d v="2025-04-05T00:00:00"/>
    <s v="CUST-0179"/>
    <s v="Lina Mahendra"/>
    <s v="Consumer"/>
    <s v="Surabaya"/>
    <s v="Jawa Timur"/>
    <x v="2"/>
    <x v="2"/>
    <s v="Accessories"/>
    <s v="PROD-3744"/>
    <x v="4"/>
    <n v="1"/>
    <n v="129900"/>
    <n v="0.1"/>
    <n v="116910"/>
    <n v="73474.080000000002"/>
    <n v="43435.92"/>
    <s v="Credit Card"/>
    <x v="20"/>
    <n v="5"/>
    <n v="0.37153297408262764"/>
  </r>
  <r>
    <s v="ORD-00100"/>
    <d v="2023-10-30T00:00:00"/>
    <d v="2023-11-01T00:00:00"/>
    <s v="CUST-0253"/>
    <s v="Oki Utami"/>
    <s v="Consumer"/>
    <s v="Semarang"/>
    <s v="Jawa Tengah"/>
    <x v="0"/>
    <x v="2"/>
    <s v="Accessories"/>
    <s v="PROD-3744"/>
    <x v="4"/>
    <n v="4"/>
    <n v="130500"/>
    <n v="0"/>
    <n v="522000"/>
    <n v="318040.37"/>
    <n v="203959.63"/>
    <s v="Credit Card"/>
    <x v="30"/>
    <n v="2"/>
    <n v="0.3907272605363985"/>
  </r>
  <r>
    <s v="ORD-00101"/>
    <d v="2025-07-08T00:00:00"/>
    <d v="2025-07-14T00:00:00"/>
    <s v="CUST-0181"/>
    <s v="Raka Santoso"/>
    <s v="Consumer"/>
    <s v="Surabaya"/>
    <s v="Jawa Timur"/>
    <x v="2"/>
    <x v="0"/>
    <s v="Binder"/>
    <s v="PROD-7352"/>
    <x v="16"/>
    <n v="2"/>
    <n v="58200"/>
    <n v="0.15"/>
    <n v="98940"/>
    <n v="63350.559999999998"/>
    <n v="35589.440000000002"/>
    <s v="Bank Transfer"/>
    <x v="19"/>
    <n v="6"/>
    <n v="0.35970729735193047"/>
  </r>
  <r>
    <s v="ORD-00102"/>
    <d v="2024-09-27T00:00:00"/>
    <d v="2024-10-01T00:00:00"/>
    <s v="CUST-0197"/>
    <s v="Oki Anggraini"/>
    <s v="Small Business"/>
    <s v="Surabaya"/>
    <s v="Jawa Timur"/>
    <x v="2"/>
    <x v="1"/>
    <s v="Chair"/>
    <s v="PROD-9951"/>
    <x v="19"/>
    <n v="3"/>
    <n v="1951300"/>
    <n v="0"/>
    <n v="5853900"/>
    <n v="3968780.57"/>
    <n v="1885119.43"/>
    <s v="Bank Transfer"/>
    <x v="16"/>
    <n v="4"/>
    <n v="0.32202795230530074"/>
  </r>
  <r>
    <s v="ORD-00103"/>
    <d v="2023-03-26T00:00:00"/>
    <d v="2023-03-30T00:00:00"/>
    <s v="CUST-0044"/>
    <s v="Raka Ramadhan"/>
    <s v="Corporate"/>
    <s v="Surabaya"/>
    <s v="Jawa Timur"/>
    <x v="2"/>
    <x v="0"/>
    <s v="Writing"/>
    <s v="PROD-7529"/>
    <x v="0"/>
    <n v="8"/>
    <n v="67900"/>
    <n v="0.15"/>
    <n v="461720"/>
    <n v="310593"/>
    <n v="151127"/>
    <s v="Credit Card"/>
    <x v="24"/>
    <n v="4"/>
    <n v="0.32731309018452742"/>
  </r>
  <r>
    <s v="ORD-00104"/>
    <d v="2023-12-20T00:00:00"/>
    <d v="2023-12-21T00:00:00"/>
    <s v="CUST-0027"/>
    <s v="Rizky Ramadhan"/>
    <s v="Corporate"/>
    <s v="Denpasar"/>
    <s v="Bali"/>
    <x v="2"/>
    <x v="2"/>
    <s v="Printer"/>
    <s v="PROD-5410"/>
    <x v="11"/>
    <n v="2"/>
    <n v="1597800"/>
    <n v="0.05"/>
    <n v="3035820"/>
    <n v="2417439.14"/>
    <n v="618380.86"/>
    <s v="Credit Card"/>
    <x v="4"/>
    <n v="1"/>
    <n v="0.20369483697979457"/>
  </r>
  <r>
    <s v="ORD-00105"/>
    <d v="2024-11-16T00:00:00"/>
    <d v="2024-11-17T00:00:00"/>
    <s v="CUST-0201"/>
    <s v="Eka Anggraini"/>
    <s v="Consumer"/>
    <s v="Yogyakarta"/>
    <s v="DI Yogyakarta"/>
    <x v="0"/>
    <x v="2"/>
    <s v="Accessories"/>
    <s v="PROD-1626"/>
    <x v="20"/>
    <n v="2"/>
    <n v="236500"/>
    <n v="0"/>
    <n v="473000"/>
    <n v="282516.28999999998"/>
    <n v="190483.71"/>
    <s v="Credit Card"/>
    <x v="2"/>
    <n v="1"/>
    <n v="0.40271397463002112"/>
  </r>
  <r>
    <s v="ORD-00106"/>
    <d v="2023-06-23T00:00:00"/>
    <d v="2023-06-26T00:00:00"/>
    <s v="CUST-0093"/>
    <s v="Gita Permata"/>
    <s v="Corporate"/>
    <s v="Surabaya"/>
    <s v="Jawa Timur"/>
    <x v="2"/>
    <x v="1"/>
    <s v="Storage"/>
    <s v="PROD-2602"/>
    <x v="3"/>
    <n v="3"/>
    <n v="864000"/>
    <n v="0.05"/>
    <n v="2462400"/>
    <n v="1679977.59"/>
    <n v="782422.41"/>
    <s v="Bank Transfer"/>
    <x v="9"/>
    <n v="3"/>
    <n v="0.31774789230019496"/>
  </r>
  <r>
    <s v="ORD-00107"/>
    <d v="2025-09-22T00:00:00"/>
    <d v="2025-09-24T00:00:00"/>
    <s v="CUST-0173"/>
    <s v="Dinda Utami"/>
    <s v="Consumer"/>
    <s v="Bogor"/>
    <s v="Jawa Barat"/>
    <x v="1"/>
    <x v="2"/>
    <s v="Smartphone"/>
    <s v="PROD-2176"/>
    <x v="17"/>
    <n v="2"/>
    <n v="3260000"/>
    <n v="0.15"/>
    <n v="5542000"/>
    <n v="5046619.04"/>
    <n v="495380.96"/>
    <s v="Bank Transfer"/>
    <x v="32"/>
    <n v="2"/>
    <n v="8.9386676290147959E-2"/>
  </r>
  <r>
    <s v="ORD-00108"/>
    <d v="2023-09-26T00:00:00"/>
    <d v="2023-10-01T00:00:00"/>
    <s v="CUST-0228"/>
    <s v="Vina Lestari"/>
    <s v="Small Business"/>
    <s v="Bogor"/>
    <s v="Jawa Barat"/>
    <x v="1"/>
    <x v="1"/>
    <s v="Chair"/>
    <s v="PROD-0956"/>
    <x v="6"/>
    <n v="4"/>
    <n v="591200"/>
    <n v="0.05"/>
    <n v="2246560"/>
    <n v="1579377.86"/>
    <n v="667182.14"/>
    <s v="Credit Card"/>
    <x v="33"/>
    <n v="5"/>
    <n v="0.29697944412791111"/>
  </r>
  <r>
    <s v="ORD-00109"/>
    <d v="2025-07-08T00:00:00"/>
    <d v="2025-07-10T00:00:00"/>
    <s v="CUST-0145"/>
    <s v="Nabila Hidayat"/>
    <s v="Small Business"/>
    <s v="Denpasar"/>
    <s v="Bali"/>
    <x v="2"/>
    <x v="1"/>
    <s v="Desk"/>
    <s v="PROD-6903"/>
    <x v="13"/>
    <n v="2"/>
    <n v="1385500"/>
    <n v="0.3"/>
    <n v="1939700"/>
    <n v="1875169.86"/>
    <n v="64530.14"/>
    <s v="Credit Card"/>
    <x v="19"/>
    <n v="2"/>
    <n v="3.3268103314945612E-2"/>
  </r>
  <r>
    <s v="ORD-00110"/>
    <d v="2025-10-26T00:00:00"/>
    <d v="2025-10-31T00:00:00"/>
    <s v="CUST-0053"/>
    <s v="Zahra Nugroho"/>
    <s v="Corporate"/>
    <s v="Semarang"/>
    <s v="Jawa Tengah"/>
    <x v="0"/>
    <x v="1"/>
    <s v="Chair"/>
    <s v="PROD-0956"/>
    <x v="6"/>
    <n v="5"/>
    <n v="592500"/>
    <n v="0.05"/>
    <n v="2814375"/>
    <n v="1892696.36"/>
    <n v="921678.64"/>
    <s v="Credit Card"/>
    <x v="27"/>
    <n v="5"/>
    <n v="0.32748963446591162"/>
  </r>
  <r>
    <s v="ORD-00111"/>
    <d v="2025-11-22T00:00:00"/>
    <d v="2025-11-29T00:00:00"/>
    <s v="CUST-0179"/>
    <s v="Rian Pratama"/>
    <s v="Consumer"/>
    <s v="Bogor"/>
    <s v="Jawa Barat"/>
    <x v="1"/>
    <x v="2"/>
    <s v="Laptop"/>
    <s v="PROD-8448"/>
    <x v="12"/>
    <n v="5"/>
    <n v="5613100"/>
    <n v="0.25"/>
    <n v="21049125"/>
    <n v="23713583.260000002"/>
    <n v="-2664458.2599999998"/>
    <s v="Credit Card"/>
    <x v="34"/>
    <n v="7"/>
    <n v="-0.12658285130617067"/>
  </r>
  <r>
    <s v="ORD-00112"/>
    <d v="2025-04-29T00:00:00"/>
    <d v="2025-04-30T00:00:00"/>
    <s v="CUST-0172"/>
    <s v="Rizky Wijaya"/>
    <s v="Consumer"/>
    <s v="Semarang"/>
    <s v="Jawa Tengah"/>
    <x v="0"/>
    <x v="1"/>
    <s v="Desk"/>
    <s v="PROD-6903"/>
    <x v="13"/>
    <n v="2"/>
    <n v="1132800"/>
    <n v="0.25"/>
    <n v="1699200"/>
    <n v="1607652.21"/>
    <n v="91547.79"/>
    <s v="Bank Transfer"/>
    <x v="5"/>
    <n v="1"/>
    <n v="5.3876995056497172E-2"/>
  </r>
  <r>
    <s v="ORD-00113"/>
    <d v="2023-10-09T00:00:00"/>
    <d v="2023-10-10T00:00:00"/>
    <s v="CUST-0077"/>
    <s v="Sari Mahendra"/>
    <s v="Corporate"/>
    <s v="Bogor"/>
    <s v="Jawa Barat"/>
    <x v="1"/>
    <x v="2"/>
    <s v="Printer"/>
    <s v="PROD-5410"/>
    <x v="11"/>
    <n v="2"/>
    <n v="1306700"/>
    <n v="0"/>
    <n v="2613400"/>
    <n v="1850168.24"/>
    <n v="763231.76"/>
    <s v="Cash"/>
    <x v="30"/>
    <n v="1"/>
    <n v="0.29204551924695799"/>
  </r>
  <r>
    <s v="ORD-00114"/>
    <d v="2025-12-16T00:00:00"/>
    <d v="2025-12-20T00:00:00"/>
    <s v="CUST-0256"/>
    <s v="Vina Saputra"/>
    <s v="Consumer"/>
    <s v="Semarang"/>
    <s v="Jawa Tengah"/>
    <x v="0"/>
    <x v="2"/>
    <s v="Accessories"/>
    <s v="PROD-3744"/>
    <x v="4"/>
    <n v="1"/>
    <n v="130100"/>
    <n v="0.1"/>
    <n v="117090"/>
    <n v="72301.210000000006"/>
    <n v="44788.79"/>
    <s v="Bank Transfer"/>
    <x v="25"/>
    <n v="4"/>
    <n v="0.38251592791869504"/>
  </r>
  <r>
    <s v="ORD-00115"/>
    <d v="2023-02-03T00:00:00"/>
    <d v="2023-02-09T00:00:00"/>
    <s v="CUST-0044"/>
    <s v="Raka Permata"/>
    <s v="Consumer"/>
    <s v="Bogor"/>
    <s v="Jawa Barat"/>
    <x v="1"/>
    <x v="1"/>
    <s v="Chair"/>
    <s v="PROD-0956"/>
    <x v="6"/>
    <n v="3"/>
    <n v="619400"/>
    <n v="0.05"/>
    <n v="1765290"/>
    <n v="1232498.8899999999"/>
    <n v="532791.11"/>
    <s v="Bank Transfer"/>
    <x v="31"/>
    <n v="6"/>
    <n v="0.30181506154796095"/>
  </r>
  <r>
    <s v="ORD-00116"/>
    <d v="2023-05-19T00:00:00"/>
    <d v="2023-05-24T00:00:00"/>
    <s v="CUST-0183"/>
    <s v="Rizky Santoso"/>
    <s v="Consumer"/>
    <s v="Medan"/>
    <s v="Sumatera Utara"/>
    <x v="1"/>
    <x v="1"/>
    <s v="Storage"/>
    <s v="PROD-7524"/>
    <x v="1"/>
    <n v="1"/>
    <n v="965400"/>
    <n v="0.05"/>
    <n v="917130"/>
    <n v="687425.41"/>
    <n v="229704.59"/>
    <s v="Cash"/>
    <x v="22"/>
    <n v="5"/>
    <n v="0.25046022919324412"/>
  </r>
  <r>
    <s v="ORD-00117"/>
    <d v="2024-12-07T00:00:00"/>
    <d v="2024-12-09T00:00:00"/>
    <s v="CUST-0238"/>
    <s v="Zahra Kusuma"/>
    <s v="Corporate"/>
    <s v="Makassar"/>
    <s v="Sulawesi Selatan"/>
    <x v="2"/>
    <x v="0"/>
    <s v="Paper"/>
    <s v="PROD-9601"/>
    <x v="9"/>
    <n v="1"/>
    <n v="74300"/>
    <n v="0.05"/>
    <n v="70585"/>
    <n v="44540.38"/>
    <n v="26044.62"/>
    <s v="E-Wallet"/>
    <x v="23"/>
    <n v="2"/>
    <n v="0.3689823616915775"/>
  </r>
  <r>
    <s v="ORD-00118"/>
    <d v="2024-01-09T00:00:00"/>
    <d v="2024-01-16T00:00:00"/>
    <s v="CUST-0204"/>
    <s v="Anisa Saputra"/>
    <s v="Consumer"/>
    <s v="Jakarta"/>
    <s v="DKI Jakarta"/>
    <x v="1"/>
    <x v="2"/>
    <s v="Printer"/>
    <s v="PROD-5410"/>
    <x v="11"/>
    <n v="4"/>
    <n v="1587600"/>
    <n v="0"/>
    <n v="6350400"/>
    <n v="4527981.91"/>
    <n v="1822418.09"/>
    <s v="Bank Transfer"/>
    <x v="26"/>
    <n v="7"/>
    <n v="0.2869768975182666"/>
  </r>
  <r>
    <s v="ORD-00119"/>
    <d v="2025-08-27T00:00:00"/>
    <d v="2025-08-30T00:00:00"/>
    <s v="CUST-0205"/>
    <s v="Farhan Kusuma"/>
    <s v="Consumer"/>
    <s v="Yogyakarta"/>
    <s v="DI Yogyakarta"/>
    <x v="0"/>
    <x v="2"/>
    <s v="Smartphone"/>
    <s v="PROD-6076"/>
    <x v="15"/>
    <n v="5"/>
    <n v="4573200"/>
    <n v="0"/>
    <n v="22866000"/>
    <n v="17112499.829999998"/>
    <n v="5753500.1699999999"/>
    <s v="Bank Transfer"/>
    <x v="12"/>
    <n v="3"/>
    <n v="0.25161813041196535"/>
  </r>
  <r>
    <s v="ORD-00120"/>
    <d v="2025-03-02T00:00:00"/>
    <d v="2025-03-05T00:00:00"/>
    <s v="CUST-0093"/>
    <s v="Sari Lestari"/>
    <s v="Consumer"/>
    <s v="Denpasar"/>
    <s v="Bali"/>
    <x v="2"/>
    <x v="0"/>
    <s v="Stationery"/>
    <s v="PROD-5388"/>
    <x v="18"/>
    <n v="4"/>
    <n v="121900"/>
    <n v="0"/>
    <n v="487600"/>
    <n v="285802.74"/>
    <n v="201797.26"/>
    <s v="E-Wallet"/>
    <x v="20"/>
    <n v="3"/>
    <n v="0.4138582034454471"/>
  </r>
  <r>
    <s v="ORD-00121"/>
    <d v="2024-10-19T00:00:00"/>
    <d v="2024-10-20T00:00:00"/>
    <s v="CUST-0181"/>
    <s v="Vina Hidayat"/>
    <s v="Consumer"/>
    <s v="Yogyakarta"/>
    <s v="DI Yogyakarta"/>
    <x v="0"/>
    <x v="2"/>
    <s v="Accessories"/>
    <s v="PROD-3744"/>
    <x v="4"/>
    <n v="1"/>
    <n v="124700"/>
    <n v="0.05"/>
    <n v="118465"/>
    <n v="75543.490000000005"/>
    <n v="42921.51"/>
    <s v="Cash"/>
    <x v="21"/>
    <n v="1"/>
    <n v="0.36231384797197486"/>
  </r>
  <r>
    <s v="ORD-00122"/>
    <d v="2024-07-16T00:00:00"/>
    <d v="2024-07-22T00:00:00"/>
    <s v="CUST-0074"/>
    <s v="Bayu Anggraini"/>
    <s v="Corporate"/>
    <s v="Bandung"/>
    <s v="Jawa Barat"/>
    <x v="1"/>
    <x v="0"/>
    <s v="Paper"/>
    <s v="PROD-7955"/>
    <x v="8"/>
    <n v="2"/>
    <n v="62400"/>
    <n v="0.1"/>
    <n v="112320"/>
    <n v="73709.929999999993"/>
    <n v="38610.07"/>
    <s v="Cash"/>
    <x v="29"/>
    <n v="6"/>
    <n v="0.34375062321937322"/>
  </r>
  <r>
    <s v="ORD-00123"/>
    <d v="2025-06-16T00:00:00"/>
    <d v="2025-06-17T00:00:00"/>
    <s v="CUST-0040"/>
    <s v="Toni Wijaya"/>
    <s v="Consumer"/>
    <s v="Surabaya"/>
    <s v="Jawa Timur"/>
    <x v="2"/>
    <x v="2"/>
    <s v="Smartphone"/>
    <s v="PROD-6076"/>
    <x v="15"/>
    <n v="3"/>
    <n v="4932200"/>
    <n v="0.25"/>
    <n v="11097450"/>
    <n v="11079269.48"/>
    <n v="18180.52"/>
    <s v="Bank Transfer"/>
    <x v="7"/>
    <n v="1"/>
    <n v="1.6382610419510789E-3"/>
  </r>
  <r>
    <s v="ORD-00124"/>
    <d v="2025-12-20T00:00:00"/>
    <d v="2025-12-23T00:00:00"/>
    <s v="CUST-0061"/>
    <s v="Indra Utami"/>
    <s v="Consumer"/>
    <s v="Yogyakarta"/>
    <s v="DI Yogyakarta"/>
    <x v="0"/>
    <x v="1"/>
    <s v="Storage"/>
    <s v="PROD-2602"/>
    <x v="3"/>
    <n v="1"/>
    <n v="818600"/>
    <n v="0.05"/>
    <n v="777670"/>
    <n v="568676.79"/>
    <n v="208993.21"/>
    <s v="Bank Transfer"/>
    <x v="25"/>
    <n v="3"/>
    <n v="0.26874279578741622"/>
  </r>
  <r>
    <s v="ORD-00125"/>
    <d v="2024-06-17T00:00:00"/>
    <d v="2024-06-23T00:00:00"/>
    <s v="CUST-0228"/>
    <s v="Citra Utami"/>
    <s v="Corporate"/>
    <s v="Yogyakarta"/>
    <s v="DI Yogyakarta"/>
    <x v="0"/>
    <x v="1"/>
    <s v="Storage"/>
    <s v="PROD-7524"/>
    <x v="1"/>
    <n v="1"/>
    <n v="911300"/>
    <n v="0"/>
    <n v="911300"/>
    <n v="602608.81000000006"/>
    <n v="308691.19"/>
    <s v="Cash"/>
    <x v="35"/>
    <n v="6"/>
    <n v="0.33873717765829037"/>
  </r>
  <r>
    <s v="ORD-00126"/>
    <d v="2024-10-16T00:00:00"/>
    <d v="2024-10-22T00:00:00"/>
    <s v="CUST-0186"/>
    <s v="Raka Putra"/>
    <s v="Corporate"/>
    <s v="Medan"/>
    <s v="Sumatera Utara"/>
    <x v="1"/>
    <x v="1"/>
    <s v="Chair"/>
    <s v="PROD-9951"/>
    <x v="19"/>
    <n v="5"/>
    <n v="1849000"/>
    <n v="0.25"/>
    <n v="6933750"/>
    <n v="6302452.0499999998"/>
    <n v="631297.94999999995"/>
    <s v="E-Wallet"/>
    <x v="21"/>
    <n v="6"/>
    <n v="9.1047117360735522E-2"/>
  </r>
  <r>
    <s v="ORD-00127"/>
    <d v="2023-09-06T00:00:00"/>
    <d v="2023-09-08T00:00:00"/>
    <s v="CUST-0034"/>
    <s v="Joko Hidayat"/>
    <s v="Consumer"/>
    <s v="Denpasar"/>
    <s v="Bali"/>
    <x v="2"/>
    <x v="0"/>
    <s v="Writing"/>
    <s v="PROD-7529"/>
    <x v="0"/>
    <n v="2"/>
    <n v="75900"/>
    <n v="0"/>
    <n v="151800"/>
    <n v="87296.25"/>
    <n v="64503.75"/>
    <s v="E-Wallet"/>
    <x v="33"/>
    <n v="2"/>
    <n v="0.42492588932806324"/>
  </r>
  <r>
    <s v="ORD-00128"/>
    <d v="2025-09-07T00:00:00"/>
    <d v="2025-09-12T00:00:00"/>
    <s v="CUST-0094"/>
    <s v="Nabila Wijaya"/>
    <s v="Consumer"/>
    <s v="Makassar"/>
    <s v="Sulawesi Selatan"/>
    <x v="2"/>
    <x v="1"/>
    <s v="Desk"/>
    <s v="PROD-4040"/>
    <x v="7"/>
    <n v="3"/>
    <n v="3146800"/>
    <n v="0.1"/>
    <n v="8496360"/>
    <n v="6573830.5199999996"/>
    <n v="1922529.48"/>
    <s v="E-Wallet"/>
    <x v="32"/>
    <n v="5"/>
    <n v="0.22627683855203876"/>
  </r>
  <r>
    <s v="ORD-00129"/>
    <d v="2025-06-05T00:00:00"/>
    <d v="2025-06-10T00:00:00"/>
    <s v="CUST-0146"/>
    <s v="Bayu Santoso"/>
    <s v="Consumer"/>
    <s v="Bandung"/>
    <s v="Jawa Barat"/>
    <x v="1"/>
    <x v="0"/>
    <s v="Paper"/>
    <s v="PROD-7955"/>
    <x v="8"/>
    <n v="1"/>
    <n v="56300"/>
    <n v="0.15"/>
    <n v="47855"/>
    <n v="30809.65"/>
    <n v="17045.349999999999"/>
    <s v="E-Wallet"/>
    <x v="7"/>
    <n v="5"/>
    <n v="0.35618744122871171"/>
  </r>
  <r>
    <s v="ORD-00130"/>
    <d v="2024-05-28T00:00:00"/>
    <d v="2024-05-30T00:00:00"/>
    <s v="CUST-0173"/>
    <s v="Anisa Siregar"/>
    <s v="Corporate"/>
    <s v="Bogor"/>
    <s v="Jawa Barat"/>
    <x v="1"/>
    <x v="0"/>
    <s v="Binder"/>
    <s v="PROD-9396"/>
    <x v="21"/>
    <n v="2"/>
    <n v="35600"/>
    <n v="0.25"/>
    <n v="53400"/>
    <n v="34533.61"/>
    <n v="18866.39"/>
    <s v="Bank Transfer"/>
    <x v="15"/>
    <n v="2"/>
    <n v="0.35330318352059925"/>
  </r>
  <r>
    <s v="ORD-00131"/>
    <d v="2023-03-26T00:00:00"/>
    <d v="2023-04-02T00:00:00"/>
    <s v="CUST-0255"/>
    <s v="Dinda Ramadhan"/>
    <s v="Small Business"/>
    <s v="Jakarta"/>
    <s v="DKI Jakarta"/>
    <x v="1"/>
    <x v="0"/>
    <s v="Paper"/>
    <s v="PROD-9601"/>
    <x v="9"/>
    <n v="3"/>
    <n v="81200"/>
    <n v="0.05"/>
    <n v="231420"/>
    <n v="145960.23000000001"/>
    <n v="85459.77"/>
    <s v="E-Wallet"/>
    <x v="24"/>
    <n v="7"/>
    <n v="0.36928428830697435"/>
  </r>
  <r>
    <s v="ORD-00132"/>
    <d v="2024-08-16T00:00:00"/>
    <d v="2024-08-22T00:00:00"/>
    <s v="CUST-0248"/>
    <s v="Oki Putra"/>
    <s v="Corporate"/>
    <s v="Semarang"/>
    <s v="Jawa Tengah"/>
    <x v="0"/>
    <x v="0"/>
    <s v="Stationery"/>
    <s v="PROD-5388"/>
    <x v="18"/>
    <n v="1"/>
    <n v="105300"/>
    <n v="0"/>
    <n v="105300"/>
    <n v="60450.07"/>
    <n v="44849.93"/>
    <s v="Cash"/>
    <x v="28"/>
    <n v="6"/>
    <n v="0.42592526115859447"/>
  </r>
  <r>
    <s v="ORD-00133"/>
    <d v="2024-11-27T00:00:00"/>
    <d v="2024-12-02T00:00:00"/>
    <s v="CUST-0063"/>
    <s v="Indra Kusuma"/>
    <s v="Small Business"/>
    <s v="Surabaya"/>
    <s v="Jawa Timur"/>
    <x v="2"/>
    <x v="2"/>
    <s v="Accessories"/>
    <s v="PROD-4943"/>
    <x v="2"/>
    <n v="4"/>
    <n v="491400"/>
    <n v="0"/>
    <n v="1965600"/>
    <n v="1196036.29"/>
    <n v="769563.71"/>
    <s v="Credit Card"/>
    <x v="2"/>
    <n v="5"/>
    <n v="0.39151592897842896"/>
  </r>
  <r>
    <s v="ORD-00134"/>
    <d v="2024-05-22T00:00:00"/>
    <d v="2024-05-24T00:00:00"/>
    <s v="CUST-0161"/>
    <s v="Gita Utami"/>
    <s v="Small Business"/>
    <s v="Malang"/>
    <s v="Jawa Timur"/>
    <x v="2"/>
    <x v="2"/>
    <s v="Accessories"/>
    <s v="PROD-3744"/>
    <x v="4"/>
    <n v="1"/>
    <n v="136300"/>
    <n v="0"/>
    <n v="136300"/>
    <n v="78466.36"/>
    <n v="57833.64"/>
    <s v="Cash"/>
    <x v="15"/>
    <n v="2"/>
    <n v="0.42431137197358765"/>
  </r>
  <r>
    <s v="ORD-00135"/>
    <d v="2023-11-23T00:00:00"/>
    <d v="2023-11-27T00:00:00"/>
    <s v="CUST-0111"/>
    <s v="Toni Permata"/>
    <s v="Small Business"/>
    <s v="Denpasar"/>
    <s v="Bali"/>
    <x v="2"/>
    <x v="0"/>
    <s v="Stationery"/>
    <s v="PROD-5388"/>
    <x v="18"/>
    <n v="1"/>
    <n v="127400"/>
    <n v="0.05"/>
    <n v="121030"/>
    <n v="78112.95"/>
    <n v="42917.05"/>
    <s v="Cash"/>
    <x v="8"/>
    <n v="4"/>
    <n v="0.35459844666611584"/>
  </r>
  <r>
    <s v="ORD-00136"/>
    <d v="2023-04-10T00:00:00"/>
    <d v="2023-04-11T00:00:00"/>
    <s v="CUST-0188"/>
    <s v="Bima Hidayat"/>
    <s v="Corporate"/>
    <s v="Yogyakarta"/>
    <s v="DI Yogyakarta"/>
    <x v="0"/>
    <x v="2"/>
    <s v="Printer"/>
    <s v="PROD-5410"/>
    <x v="11"/>
    <n v="2"/>
    <n v="1586500"/>
    <n v="0.15"/>
    <n v="2697050"/>
    <n v="2397191.96"/>
    <n v="299858.03999999998"/>
    <s v="Bank Transfer"/>
    <x v="14"/>
    <n v="1"/>
    <n v="0.11118000778628501"/>
  </r>
  <r>
    <s v="ORD-00137"/>
    <d v="2023-04-15T00:00:00"/>
    <d v="2023-04-20T00:00:00"/>
    <s v="CUST-0061"/>
    <s v="Eka Santoso"/>
    <s v="Consumer"/>
    <s v="Medan"/>
    <s v="Sumatera Utara"/>
    <x v="1"/>
    <x v="1"/>
    <s v="Desk"/>
    <s v="PROD-6903"/>
    <x v="13"/>
    <n v="2"/>
    <n v="1335200"/>
    <n v="0"/>
    <n v="2670400"/>
    <n v="1929764.03"/>
    <n v="740635.97"/>
    <s v="Cash"/>
    <x v="14"/>
    <n v="5"/>
    <n v="0.27735019847213899"/>
  </r>
  <r>
    <s v="ORD-00138"/>
    <d v="2025-03-17T00:00:00"/>
    <d v="2025-03-20T00:00:00"/>
    <s v="CUST-0071"/>
    <s v="Zahra Permata"/>
    <s v="Small Business"/>
    <s v="Medan"/>
    <s v="Sumatera Utara"/>
    <x v="1"/>
    <x v="0"/>
    <s v="Binder"/>
    <s v="PROD-7352"/>
    <x v="16"/>
    <n v="1"/>
    <n v="56700"/>
    <n v="0.05"/>
    <n v="53865"/>
    <n v="28725.43"/>
    <n v="25139.57"/>
    <s v="Credit Card"/>
    <x v="20"/>
    <n v="3"/>
    <n v="0.46671437853893993"/>
  </r>
  <r>
    <s v="ORD-00139"/>
    <d v="2025-08-28T00:00:00"/>
    <d v="2025-09-02T00:00:00"/>
    <s v="CUST-0173"/>
    <s v="Raka Nugroho"/>
    <s v="Consumer"/>
    <s v="Medan"/>
    <s v="Sumatera Utara"/>
    <x v="1"/>
    <x v="1"/>
    <s v="Storage"/>
    <s v="PROD-7524"/>
    <x v="1"/>
    <n v="1"/>
    <n v="1095600"/>
    <n v="0.15"/>
    <n v="931260"/>
    <n v="736738.76"/>
    <n v="194521.24"/>
    <s v="E-Wallet"/>
    <x v="12"/>
    <n v="5"/>
    <n v="0.20887962545368641"/>
  </r>
  <r>
    <s v="ORD-00140"/>
    <d v="2025-11-09T00:00:00"/>
    <d v="2025-11-14T00:00:00"/>
    <s v="CUST-0014"/>
    <s v="Vina Kusuma"/>
    <s v="Consumer"/>
    <s v="Yogyakarta"/>
    <s v="DI Yogyakarta"/>
    <x v="0"/>
    <x v="1"/>
    <s v="Storage"/>
    <s v="PROD-7524"/>
    <x v="1"/>
    <n v="2"/>
    <n v="1027300"/>
    <n v="0.3"/>
    <n v="1438220"/>
    <n v="1433287.46"/>
    <n v="4932.54"/>
    <s v="Bank Transfer"/>
    <x v="34"/>
    <n v="5"/>
    <n v="3.4296143844474419E-3"/>
  </r>
  <r>
    <s v="ORD-00141"/>
    <d v="2024-06-27T00:00:00"/>
    <d v="2024-07-03T00:00:00"/>
    <s v="CUST-0125"/>
    <s v="Bima Anggraini"/>
    <s v="Corporate"/>
    <s v="Jakarta"/>
    <s v="DKI Jakarta"/>
    <x v="1"/>
    <x v="0"/>
    <s v="Writing"/>
    <s v="PROD-7529"/>
    <x v="0"/>
    <n v="2"/>
    <n v="72000"/>
    <n v="0.15"/>
    <n v="122400"/>
    <n v="77715.27"/>
    <n v="44684.73"/>
    <s v="Credit Card"/>
    <x v="35"/>
    <n v="6"/>
    <n v="0.3650713235294118"/>
  </r>
  <r>
    <s v="ORD-00142"/>
    <d v="2023-08-14T00:00:00"/>
    <d v="2023-08-16T00:00:00"/>
    <s v="CUST-0032"/>
    <s v="Zahra Wijaya"/>
    <s v="Consumer"/>
    <s v="Malang"/>
    <s v="Jawa Timur"/>
    <x v="2"/>
    <x v="2"/>
    <s v="Accessories"/>
    <s v="PROD-4943"/>
    <x v="2"/>
    <n v="2"/>
    <n v="519200"/>
    <n v="0.25"/>
    <n v="778800"/>
    <n v="684668.11"/>
    <n v="94131.89"/>
    <s v="Credit Card"/>
    <x v="0"/>
    <n v="2"/>
    <n v="0.12086786081150488"/>
  </r>
  <r>
    <s v="ORD-00143"/>
    <d v="2025-11-28T00:00:00"/>
    <d v="2025-11-30T00:00:00"/>
    <s v="CUST-0136"/>
    <s v="Vina Kusuma"/>
    <s v="Corporate"/>
    <s v="Denpasar"/>
    <s v="Bali"/>
    <x v="2"/>
    <x v="1"/>
    <s v="Storage"/>
    <s v="PROD-2602"/>
    <x v="3"/>
    <n v="8"/>
    <n v="871000"/>
    <n v="0.1"/>
    <n v="6271200"/>
    <n v="4624383.49"/>
    <n v="1646816.51"/>
    <s v="E-Wallet"/>
    <x v="34"/>
    <n v="2"/>
    <n v="0.26259990272994005"/>
  </r>
  <r>
    <s v="ORD-00144"/>
    <d v="2024-01-29T00:00:00"/>
    <d v="2024-01-31T00:00:00"/>
    <s v="CUST-0246"/>
    <s v="Lina Saputra"/>
    <s v="Small Business"/>
    <s v="Semarang"/>
    <s v="Jawa Tengah"/>
    <x v="0"/>
    <x v="2"/>
    <s v="Accessories"/>
    <s v="PROD-3744"/>
    <x v="4"/>
    <n v="4"/>
    <n v="131900"/>
    <n v="0.1"/>
    <n v="474840"/>
    <n v="310160.65000000002"/>
    <n v="164679.35"/>
    <s v="E-Wallet"/>
    <x v="26"/>
    <n v="2"/>
    <n v="0.34681018869513941"/>
  </r>
  <r>
    <s v="ORD-00145"/>
    <d v="2024-07-14T00:00:00"/>
    <d v="2024-07-17T00:00:00"/>
    <s v="CUST-0227"/>
    <s v="Wulan Lestari"/>
    <s v="Corporate"/>
    <s v="Malang"/>
    <s v="Jawa Timur"/>
    <x v="2"/>
    <x v="2"/>
    <s v="Accessories"/>
    <s v="PROD-1626"/>
    <x v="20"/>
    <n v="1"/>
    <n v="221600"/>
    <n v="0.15"/>
    <n v="188360"/>
    <n v="132298.82"/>
    <n v="56061.18"/>
    <s v="Credit Card"/>
    <x v="29"/>
    <n v="3"/>
    <n v="0.29762784030579742"/>
  </r>
  <r>
    <s v="ORD-00146"/>
    <d v="2025-09-08T00:00:00"/>
    <d v="2025-09-10T00:00:00"/>
    <s v="CUST-0116"/>
    <s v="Wulan Putra"/>
    <s v="Corporate"/>
    <s v="Medan"/>
    <s v="Sumatera Utara"/>
    <x v="1"/>
    <x v="2"/>
    <s v="Accessories"/>
    <s v="PROD-3744"/>
    <x v="4"/>
    <n v="1"/>
    <n v="132900"/>
    <n v="0"/>
    <n v="132900"/>
    <n v="73736.600000000006"/>
    <n v="59163.4"/>
    <s v="Credit Card"/>
    <x v="32"/>
    <n v="2"/>
    <n v="0.44517231000752444"/>
  </r>
  <r>
    <s v="ORD-00147"/>
    <d v="2023-04-18T00:00:00"/>
    <d v="2023-04-19T00:00:00"/>
    <s v="CUST-0244"/>
    <s v="Putri Ramadhan"/>
    <s v="Consumer"/>
    <s v="Denpasar"/>
    <s v="Bali"/>
    <x v="2"/>
    <x v="1"/>
    <s v="Storage"/>
    <s v="PROD-2602"/>
    <x v="3"/>
    <n v="1"/>
    <n v="888300"/>
    <n v="0.25"/>
    <n v="666225"/>
    <n v="579068.27"/>
    <n v="87156.73"/>
    <s v="Credit Card"/>
    <x v="14"/>
    <n v="1"/>
    <n v="0.13082176441892754"/>
  </r>
  <r>
    <s v="ORD-00148"/>
    <d v="2024-02-13T00:00:00"/>
    <d v="2024-02-20T00:00:00"/>
    <s v="CUST-0020"/>
    <s v="Rian Siregar"/>
    <s v="Corporate"/>
    <s v="Yogyakarta"/>
    <s v="DI Yogyakarta"/>
    <x v="0"/>
    <x v="0"/>
    <s v="Binder"/>
    <s v="PROD-7352"/>
    <x v="16"/>
    <n v="3"/>
    <n v="53300"/>
    <n v="0.15"/>
    <n v="135915"/>
    <n v="89877.86"/>
    <n v="46037.14"/>
    <s v="Bank Transfer"/>
    <x v="10"/>
    <n v="7"/>
    <n v="0.33872008240444396"/>
  </r>
  <r>
    <s v="ORD-00149"/>
    <d v="2023-12-25T00:00:00"/>
    <d v="2023-12-29T00:00:00"/>
    <s v="CUST-0149"/>
    <s v="Dinda Pratama"/>
    <s v="Small Business"/>
    <s v="Jakarta"/>
    <s v="DKI Jakarta"/>
    <x v="1"/>
    <x v="0"/>
    <s v="Writing"/>
    <s v="PROD-7527"/>
    <x v="5"/>
    <n v="4"/>
    <n v="42300"/>
    <n v="0.15"/>
    <n v="143820"/>
    <n v="93561.99"/>
    <n v="50258.01"/>
    <s v="Cash"/>
    <x v="4"/>
    <n v="4"/>
    <n v="0.34945077179808093"/>
  </r>
  <r>
    <s v="ORD-00150"/>
    <d v="2023-01-19T00:00:00"/>
    <d v="2023-01-22T00:00:00"/>
    <s v="CUST-0058"/>
    <s v="Kartika Wijaya"/>
    <s v="Consumer"/>
    <s v="Surabaya"/>
    <s v="Jawa Timur"/>
    <x v="2"/>
    <x v="1"/>
    <s v="Chair"/>
    <s v="PROD-9951"/>
    <x v="19"/>
    <n v="5"/>
    <n v="1626700"/>
    <n v="0.05"/>
    <n v="7726825"/>
    <n v="5290105.03"/>
    <n v="2436719.9700000002"/>
    <s v="Cash"/>
    <x v="11"/>
    <n v="3"/>
    <n v="0.31535850365447649"/>
  </r>
  <r>
    <s v="ORD-00151"/>
    <d v="2025-07-28T00:00:00"/>
    <d v="2025-08-03T00:00:00"/>
    <s v="CUST-0208"/>
    <s v="Anisa Hidayat"/>
    <s v="Corporate"/>
    <s v="Jakarta"/>
    <s v="DKI Jakarta"/>
    <x v="1"/>
    <x v="2"/>
    <s v="Smartphone"/>
    <s v="PROD-2176"/>
    <x v="17"/>
    <n v="3"/>
    <n v="3413100"/>
    <n v="0"/>
    <n v="10239300"/>
    <n v="8258889.0800000001"/>
    <n v="1980410.92"/>
    <s v="E-Wallet"/>
    <x v="19"/>
    <n v="6"/>
    <n v="0.19341272547928079"/>
  </r>
  <r>
    <s v="ORD-00152"/>
    <d v="2025-11-21T00:00:00"/>
    <d v="2025-11-24T00:00:00"/>
    <s v="CUST-0137"/>
    <s v="Kartika Lestari"/>
    <s v="Small Business"/>
    <s v="Bogor"/>
    <s v="Jawa Barat"/>
    <x v="1"/>
    <x v="2"/>
    <s v="Laptop"/>
    <s v="PROD-8448"/>
    <x v="12"/>
    <n v="2"/>
    <n v="5822900"/>
    <n v="0"/>
    <n v="11645800"/>
    <n v="9136062.6699999999"/>
    <n v="2509737.33"/>
    <s v="Cash"/>
    <x v="34"/>
    <n v="3"/>
    <n v="0.21550579007023993"/>
  </r>
  <r>
    <s v="ORD-00153"/>
    <d v="2023-01-24T00:00:00"/>
    <d v="2023-01-27T00:00:00"/>
    <s v="CUST-0160"/>
    <s v="Zahra Santoso"/>
    <s v="Corporate"/>
    <s v="Jakarta"/>
    <s v="DKI Jakarta"/>
    <x v="1"/>
    <x v="0"/>
    <s v="Writing"/>
    <s v="PROD-7529"/>
    <x v="0"/>
    <n v="2"/>
    <n v="67300"/>
    <n v="0.05"/>
    <n v="127870"/>
    <n v="77507.7"/>
    <n v="50362.3"/>
    <s v="Cash"/>
    <x v="11"/>
    <n v="3"/>
    <n v="0.39385547822006728"/>
  </r>
  <r>
    <s v="ORD-00154"/>
    <d v="2024-08-27T00:00:00"/>
    <d v="2024-08-30T00:00:00"/>
    <s v="CUST-0242"/>
    <s v="Nabila Saputra"/>
    <s v="Consumer"/>
    <s v="Bogor"/>
    <s v="Jawa Barat"/>
    <x v="1"/>
    <x v="1"/>
    <s v="Chair"/>
    <s v="PROD-0956"/>
    <x v="6"/>
    <n v="4"/>
    <n v="671600"/>
    <n v="0.05"/>
    <n v="2552080"/>
    <n v="1756089.77"/>
    <n v="795990.23"/>
    <s v="Cash"/>
    <x v="28"/>
    <n v="3"/>
    <n v="0.31189861994921786"/>
  </r>
  <r>
    <s v="ORD-00155"/>
    <d v="2024-03-23T00:00:00"/>
    <d v="2024-03-30T00:00:00"/>
    <s v="CUST-0259"/>
    <s v="Gita Anggraini"/>
    <s v="Consumer"/>
    <s v="Medan"/>
    <s v="Sumatera Utara"/>
    <x v="1"/>
    <x v="2"/>
    <s v="Laptop"/>
    <s v="PROD-8448"/>
    <x v="12"/>
    <n v="1"/>
    <n v="6247100"/>
    <n v="0"/>
    <n v="6247100"/>
    <n v="5103602.84"/>
    <n v="1143497.1599999999"/>
    <s v="E-Wallet"/>
    <x v="18"/>
    <n v="7"/>
    <n v="0.18304447823790237"/>
  </r>
  <r>
    <s v="ORD-00156"/>
    <d v="2023-11-03T00:00:00"/>
    <d v="2023-11-05T00:00:00"/>
    <s v="CUST-0213"/>
    <s v="Oki Anggraini"/>
    <s v="Corporate"/>
    <s v="Bandung"/>
    <s v="Jawa Barat"/>
    <x v="1"/>
    <x v="2"/>
    <s v="Printer"/>
    <s v="PROD-5410"/>
    <x v="11"/>
    <n v="1"/>
    <n v="1467800"/>
    <n v="0.15"/>
    <n v="1247630"/>
    <n v="1066270.49"/>
    <n v="181359.51"/>
    <s v="Cash"/>
    <x v="8"/>
    <n v="2"/>
    <n v="0.14536321665878507"/>
  </r>
  <r>
    <s v="ORD-00157"/>
    <d v="2023-04-29T00:00:00"/>
    <d v="2023-05-04T00:00:00"/>
    <s v="CUST-0033"/>
    <s v="Sari Pratama"/>
    <s v="Consumer"/>
    <s v="Jakarta"/>
    <s v="DKI Jakarta"/>
    <x v="1"/>
    <x v="1"/>
    <s v="Desk"/>
    <s v="PROD-6903"/>
    <x v="13"/>
    <n v="4"/>
    <n v="1284000"/>
    <n v="0"/>
    <n v="5136000"/>
    <n v="3423187.47"/>
    <n v="1712812.53"/>
    <s v="Bank Transfer"/>
    <x v="14"/>
    <n v="5"/>
    <n v="0.33349153621495325"/>
  </r>
  <r>
    <s v="ORD-00158"/>
    <d v="2023-05-22T00:00:00"/>
    <d v="2023-05-26T00:00:00"/>
    <s v="CUST-0194"/>
    <s v="Maya Santoso"/>
    <s v="Corporate"/>
    <s v="Bogor"/>
    <s v="Jawa Barat"/>
    <x v="1"/>
    <x v="2"/>
    <s v="Accessories"/>
    <s v="PROD-1626"/>
    <x v="20"/>
    <n v="2"/>
    <n v="252100"/>
    <n v="0.05"/>
    <n v="478990"/>
    <n v="323461.93"/>
    <n v="155528.07"/>
    <s v="Cash"/>
    <x v="22"/>
    <n v="4"/>
    <n v="0.32470003549134641"/>
  </r>
  <r>
    <s v="ORD-00159"/>
    <d v="2023-09-30T00:00:00"/>
    <d v="2023-10-06T00:00:00"/>
    <s v="CUST-0012"/>
    <s v="Joko Kusuma"/>
    <s v="Small Business"/>
    <s v="Bogor"/>
    <s v="Jawa Barat"/>
    <x v="1"/>
    <x v="0"/>
    <s v="Paper"/>
    <s v="PROD-9601"/>
    <x v="9"/>
    <n v="2"/>
    <n v="80600"/>
    <n v="0"/>
    <n v="161200"/>
    <n v="88863.42"/>
    <n v="72336.58"/>
    <s v="Cash"/>
    <x v="33"/>
    <n v="6"/>
    <n v="0.44873808933002485"/>
  </r>
  <r>
    <s v="ORD-00160"/>
    <d v="2025-05-18T00:00:00"/>
    <d v="2025-05-23T00:00:00"/>
    <s v="CUST-0215"/>
    <s v="Vina Utami"/>
    <s v="Consumer"/>
    <s v="Semarang"/>
    <s v="Jawa Tengah"/>
    <x v="0"/>
    <x v="1"/>
    <s v="Chair"/>
    <s v="PROD-0956"/>
    <x v="6"/>
    <n v="1"/>
    <n v="719000"/>
    <n v="0.15"/>
    <n v="611150"/>
    <n v="443902.46"/>
    <n v="167247.54"/>
    <s v="Credit Card"/>
    <x v="6"/>
    <n v="5"/>
    <n v="0.273660377975947"/>
  </r>
  <r>
    <s v="ORD-00161"/>
    <d v="2023-02-02T00:00:00"/>
    <d v="2023-02-04T00:00:00"/>
    <s v="CUST-0029"/>
    <s v="Eka Saputra"/>
    <s v="Consumer"/>
    <s v="Makassar"/>
    <s v="Sulawesi Selatan"/>
    <x v="2"/>
    <x v="2"/>
    <s v="Laptop"/>
    <s v="PROD-8448"/>
    <x v="12"/>
    <n v="1"/>
    <n v="5549400"/>
    <n v="0.05"/>
    <n v="5271930"/>
    <n v="4529059.68"/>
    <n v="742870.32"/>
    <s v="Bank Transfer"/>
    <x v="31"/>
    <n v="2"/>
    <n v="0.14091050526088167"/>
  </r>
  <r>
    <s v="ORD-00162"/>
    <d v="2024-08-15T00:00:00"/>
    <d v="2024-08-17T00:00:00"/>
    <s v="CUST-0212"/>
    <s v="Joko Lestari"/>
    <s v="Corporate"/>
    <s v="Makassar"/>
    <s v="Sulawesi Selatan"/>
    <x v="2"/>
    <x v="0"/>
    <s v="Binder"/>
    <s v="PROD-7352"/>
    <x v="16"/>
    <n v="1"/>
    <n v="61200"/>
    <n v="0.3"/>
    <n v="42840"/>
    <n v="33012.15"/>
    <n v="9827.85"/>
    <s v="E-Wallet"/>
    <x v="28"/>
    <n v="2"/>
    <n v="0.22940826330532213"/>
  </r>
  <r>
    <s v="ORD-00163"/>
    <d v="2023-05-05T00:00:00"/>
    <d v="2023-05-10T00:00:00"/>
    <s v="CUST-0164"/>
    <s v="Zahra Hidayat"/>
    <s v="Corporate"/>
    <s v="Malang"/>
    <s v="Jawa Timur"/>
    <x v="2"/>
    <x v="0"/>
    <s v="Writing"/>
    <s v="PROD-7527"/>
    <x v="5"/>
    <n v="10"/>
    <n v="49800"/>
    <n v="0.1"/>
    <n v="448200"/>
    <n v="272465.95"/>
    <n v="175734.05"/>
    <s v="Bank Transfer"/>
    <x v="22"/>
    <n v="5"/>
    <n v="0.39208846497099509"/>
  </r>
  <r>
    <s v="ORD-00164"/>
    <d v="2025-04-16T00:00:00"/>
    <d v="2025-04-18T00:00:00"/>
    <s v="CUST-0212"/>
    <s v="Nadia Saputra"/>
    <s v="Consumer"/>
    <s v="Medan"/>
    <s v="Sumatera Utara"/>
    <x v="1"/>
    <x v="2"/>
    <s v="Smartphone"/>
    <s v="PROD-2176"/>
    <x v="17"/>
    <n v="2"/>
    <n v="3378100"/>
    <n v="0.15"/>
    <n v="5742770"/>
    <n v="5488577.6200000001"/>
    <n v="254192.38"/>
    <s v="Credit Card"/>
    <x v="5"/>
    <n v="2"/>
    <n v="4.4263026379256006E-2"/>
  </r>
  <r>
    <s v="ORD-00165"/>
    <d v="2025-12-21T00:00:00"/>
    <d v="2025-12-23T00:00:00"/>
    <s v="CUST-0098"/>
    <s v="Bima Lestari"/>
    <s v="Consumer"/>
    <s v="Semarang"/>
    <s v="Jawa Tengah"/>
    <x v="0"/>
    <x v="1"/>
    <s v="Desk"/>
    <s v="PROD-6903"/>
    <x v="13"/>
    <n v="6"/>
    <n v="1358000"/>
    <n v="0"/>
    <n v="8148000"/>
    <n v="5700433.0999999996"/>
    <n v="2447566.9"/>
    <s v="Bank Transfer"/>
    <x v="25"/>
    <n v="2"/>
    <n v="0.30038867206676484"/>
  </r>
  <r>
    <s v="ORD-00166"/>
    <d v="2025-02-11T00:00:00"/>
    <d v="2025-02-17T00:00:00"/>
    <s v="CUST-0008"/>
    <s v="Gita Siregar"/>
    <s v="Consumer"/>
    <s v="Bandung"/>
    <s v="Jawa Barat"/>
    <x v="1"/>
    <x v="1"/>
    <s v="Chair"/>
    <s v="PROD-9951"/>
    <x v="19"/>
    <n v="2"/>
    <n v="1909700"/>
    <n v="0.05"/>
    <n v="3628430"/>
    <n v="2708383.5"/>
    <n v="920046.5"/>
    <s v="Credit Card"/>
    <x v="3"/>
    <n v="6"/>
    <n v="0.25356600513169608"/>
  </r>
  <r>
    <s v="ORD-00167"/>
    <d v="2024-01-25T00:00:00"/>
    <d v="2024-01-31T00:00:00"/>
    <s v="CUST-0239"/>
    <s v="Sari Ramadhan"/>
    <s v="Corporate"/>
    <s v="Semarang"/>
    <s v="Jawa Tengah"/>
    <x v="0"/>
    <x v="2"/>
    <s v="Printer"/>
    <s v="PROD-5410"/>
    <x v="11"/>
    <n v="2"/>
    <n v="1381300"/>
    <n v="0.05"/>
    <n v="2624470"/>
    <n v="1962811.67"/>
    <n v="661658.32999999996"/>
    <s v="Credit Card"/>
    <x v="26"/>
    <n v="6"/>
    <n v="0.25211121864605041"/>
  </r>
  <r>
    <s v="ORD-00168"/>
    <d v="2025-01-05T00:00:00"/>
    <d v="2025-01-08T00:00:00"/>
    <s v="CUST-0024"/>
    <s v="Toni Nugroho"/>
    <s v="Consumer"/>
    <s v="Denpasar"/>
    <s v="Bali"/>
    <x v="2"/>
    <x v="2"/>
    <s v="Printer"/>
    <s v="PROD-5410"/>
    <x v="11"/>
    <n v="4"/>
    <n v="1407200"/>
    <n v="0"/>
    <n v="5628800"/>
    <n v="4014963.94"/>
    <n v="1613836.06"/>
    <s v="Cash"/>
    <x v="17"/>
    <n v="3"/>
    <n v="0.28671049957362138"/>
  </r>
  <r>
    <s v="ORD-00169"/>
    <d v="2024-03-29T00:00:00"/>
    <d v="2024-04-04T00:00:00"/>
    <s v="CUST-0126"/>
    <s v="Putri Saputra"/>
    <s v="Small Business"/>
    <s v="Medan"/>
    <s v="Sumatera Utara"/>
    <x v="1"/>
    <x v="2"/>
    <s v="Accessories"/>
    <s v="PROD-3744"/>
    <x v="4"/>
    <n v="1"/>
    <n v="117900"/>
    <n v="0"/>
    <n v="117900"/>
    <n v="70028.14"/>
    <n v="47871.86"/>
    <s v="Cash"/>
    <x v="18"/>
    <n v="6"/>
    <n v="0.40603782866836302"/>
  </r>
  <r>
    <s v="ORD-00170"/>
    <d v="2024-11-22T00:00:00"/>
    <d v="2024-11-25T00:00:00"/>
    <s v="CUST-0031"/>
    <s v="Raka Pratama"/>
    <s v="Consumer"/>
    <s v="Denpasar"/>
    <s v="Bali"/>
    <x v="2"/>
    <x v="0"/>
    <s v="Stationery"/>
    <s v="PROD-5388"/>
    <x v="18"/>
    <n v="1"/>
    <n v="121700"/>
    <n v="0.05"/>
    <n v="115615"/>
    <n v="74169.119999999995"/>
    <n v="41445.879999999997"/>
    <s v="E-Wallet"/>
    <x v="2"/>
    <n v="3"/>
    <n v="0.35848185789041215"/>
  </r>
  <r>
    <s v="ORD-00171"/>
    <d v="2023-06-02T00:00:00"/>
    <d v="2023-06-09T00:00:00"/>
    <s v="CUST-0031"/>
    <s v="Vina Ramadhan"/>
    <s v="Consumer"/>
    <s v="Malang"/>
    <s v="Jawa Timur"/>
    <x v="2"/>
    <x v="0"/>
    <s v="Paper"/>
    <s v="PROD-7955"/>
    <x v="8"/>
    <n v="1"/>
    <n v="54100"/>
    <n v="0"/>
    <n v="54100"/>
    <n v="30031.16"/>
    <n v="24068.84"/>
    <s v="Credit Card"/>
    <x v="9"/>
    <n v="7"/>
    <n v="0.44489537892791126"/>
  </r>
  <r>
    <s v="ORD-00172"/>
    <d v="2025-09-16T00:00:00"/>
    <d v="2025-09-22T00:00:00"/>
    <s v="CUST-0258"/>
    <s v="Anisa Mahendra"/>
    <s v="Corporate"/>
    <s v="Medan"/>
    <s v="Sumatera Utara"/>
    <x v="1"/>
    <x v="1"/>
    <s v="Chair"/>
    <s v="PROD-9951"/>
    <x v="19"/>
    <n v="1"/>
    <n v="1853000"/>
    <n v="0.1"/>
    <n v="1667700"/>
    <n v="1207410.8700000001"/>
    <n v="460289.13"/>
    <s v="Bank Transfer"/>
    <x v="32"/>
    <n v="6"/>
    <n v="0.27600235653894584"/>
  </r>
  <r>
    <s v="ORD-00173"/>
    <d v="2025-05-31T00:00:00"/>
    <d v="2025-06-07T00:00:00"/>
    <s v="CUST-0204"/>
    <s v="Citra Permata"/>
    <s v="Small Business"/>
    <s v="Bandung"/>
    <s v="Jawa Barat"/>
    <x v="1"/>
    <x v="0"/>
    <s v="Writing"/>
    <s v="PROD-7527"/>
    <x v="5"/>
    <n v="1"/>
    <n v="46600"/>
    <n v="0"/>
    <n v="46600"/>
    <n v="24136.95"/>
    <n v="22463.05"/>
    <s v="Credit Card"/>
    <x v="6"/>
    <n v="7"/>
    <n v="0.48203969957081544"/>
  </r>
  <r>
    <s v="ORD-00174"/>
    <d v="2025-04-11T00:00:00"/>
    <d v="2025-04-15T00:00:00"/>
    <s v="CUST-0195"/>
    <s v="Maya Saputra"/>
    <s v="Consumer"/>
    <s v="Semarang"/>
    <s v="Jawa Tengah"/>
    <x v="0"/>
    <x v="1"/>
    <s v="Storage"/>
    <s v="PROD-2602"/>
    <x v="3"/>
    <n v="3"/>
    <n v="947300"/>
    <n v="0.15"/>
    <n v="2415615"/>
    <n v="1777326.51"/>
    <n v="638288.49"/>
    <s v="Bank Transfer"/>
    <x v="5"/>
    <n v="4"/>
    <n v="0.26423436267782741"/>
  </r>
  <r>
    <s v="ORD-00175"/>
    <d v="2025-09-01T00:00:00"/>
    <d v="2025-09-02T00:00:00"/>
    <s v="CUST-0022"/>
    <s v="Hadi Putra"/>
    <s v="Consumer"/>
    <s v="Bandung"/>
    <s v="Jawa Barat"/>
    <x v="1"/>
    <x v="0"/>
    <s v="Writing"/>
    <s v="PROD-7527"/>
    <x v="5"/>
    <n v="3"/>
    <n v="43800"/>
    <n v="0.3"/>
    <n v="91980"/>
    <n v="73561.87"/>
    <n v="18418.13"/>
    <s v="Cash"/>
    <x v="32"/>
    <n v="1"/>
    <n v="0.20024059578169168"/>
  </r>
  <r>
    <s v="ORD-00176"/>
    <d v="2025-08-31T00:00:00"/>
    <d v="2025-09-03T00:00:00"/>
    <s v="CUST-0074"/>
    <s v="Nabila Nugroho"/>
    <s v="Small Business"/>
    <s v="Yogyakarta"/>
    <s v="DI Yogyakarta"/>
    <x v="0"/>
    <x v="2"/>
    <s v="Laptop"/>
    <s v="PROD-8448"/>
    <x v="12"/>
    <n v="1"/>
    <n v="6631300"/>
    <n v="0"/>
    <n v="6631300"/>
    <n v="5182655.67"/>
    <n v="1448644.33"/>
    <s v="Bank Transfer"/>
    <x v="12"/>
    <n v="3"/>
    <n v="0.21845555622577775"/>
  </r>
  <r>
    <s v="ORD-00177"/>
    <d v="2025-03-26T00:00:00"/>
    <d v="2025-03-27T00:00:00"/>
    <s v="CUST-0041"/>
    <s v="Raka Mahendra"/>
    <s v="Small Business"/>
    <s v="Makassar"/>
    <s v="Sulawesi Selatan"/>
    <x v="2"/>
    <x v="2"/>
    <s v="Smartphone"/>
    <s v="PROD-6076"/>
    <x v="15"/>
    <n v="3"/>
    <n v="4788900"/>
    <n v="0.05"/>
    <n v="13648365"/>
    <n v="11272474.199999999"/>
    <n v="2375890.7999999998"/>
    <s v="Cash"/>
    <x v="20"/>
    <n v="1"/>
    <n v="0.17407878526109169"/>
  </r>
  <r>
    <s v="ORD-00178"/>
    <d v="2024-12-09T00:00:00"/>
    <d v="2024-12-10T00:00:00"/>
    <s v="CUST-0231"/>
    <s v="Putri Putra"/>
    <s v="Consumer"/>
    <s v="Bandung"/>
    <s v="Jawa Barat"/>
    <x v="1"/>
    <x v="2"/>
    <s v="Smartphone"/>
    <s v="PROD-6076"/>
    <x v="15"/>
    <n v="8"/>
    <n v="4567500"/>
    <n v="0.1"/>
    <n v="32886000"/>
    <n v="28826257.780000001"/>
    <n v="4059742.22"/>
    <s v="Cash"/>
    <x v="23"/>
    <n v="1"/>
    <n v="0.12344895152952624"/>
  </r>
  <r>
    <s v="ORD-00179"/>
    <d v="2024-12-29T00:00:00"/>
    <d v="2025-01-03T00:00:00"/>
    <s v="CUST-0043"/>
    <s v="Indra Wijaya"/>
    <s v="Corporate"/>
    <s v="Bogor"/>
    <s v="Jawa Barat"/>
    <x v="1"/>
    <x v="0"/>
    <s v="Stationery"/>
    <s v="PROD-1004"/>
    <x v="10"/>
    <n v="1"/>
    <n v="28000"/>
    <n v="0.15"/>
    <n v="23800"/>
    <n v="14305.9"/>
    <n v="9494.1"/>
    <s v="Cash"/>
    <x v="23"/>
    <n v="5"/>
    <n v="0.39891176470588235"/>
  </r>
  <r>
    <s v="ORD-00180"/>
    <d v="2025-02-17T00:00:00"/>
    <d v="2025-02-23T00:00:00"/>
    <s v="CUST-0053"/>
    <s v="Eka Santoso"/>
    <s v="Consumer"/>
    <s v="Malang"/>
    <s v="Jawa Timur"/>
    <x v="2"/>
    <x v="0"/>
    <s v="Writing"/>
    <s v="PROD-7527"/>
    <x v="5"/>
    <n v="1"/>
    <n v="49800"/>
    <n v="0.05"/>
    <n v="47310"/>
    <n v="27164.26"/>
    <n v="20145.740000000002"/>
    <s v="Bank Transfer"/>
    <x v="3"/>
    <n v="6"/>
    <n v="0.42582413865990282"/>
  </r>
  <r>
    <s v="ORD-00181"/>
    <d v="2024-01-19T00:00:00"/>
    <d v="2024-01-23T00:00:00"/>
    <s v="CUST-0198"/>
    <s v="Aldi Lestari"/>
    <s v="Consumer"/>
    <s v="Medan"/>
    <s v="Sumatera Utara"/>
    <x v="1"/>
    <x v="1"/>
    <s v="Storage"/>
    <s v="PROD-7524"/>
    <x v="1"/>
    <n v="1"/>
    <n v="1001500"/>
    <n v="0.1"/>
    <n v="901350"/>
    <n v="716417.4"/>
    <n v="184932.6"/>
    <s v="Bank Transfer"/>
    <x v="26"/>
    <n v="4"/>
    <n v="0.20517290730570811"/>
  </r>
  <r>
    <s v="ORD-00182"/>
    <d v="2025-04-27T00:00:00"/>
    <d v="2025-05-01T00:00:00"/>
    <s v="CUST-0086"/>
    <s v="Nadia Lestari"/>
    <s v="Corporate"/>
    <s v="Makassar"/>
    <s v="Sulawesi Selatan"/>
    <x v="2"/>
    <x v="0"/>
    <s v="Writing"/>
    <s v="PROD-7529"/>
    <x v="0"/>
    <n v="1"/>
    <n v="65200"/>
    <n v="0"/>
    <n v="65200"/>
    <n v="34115.550000000003"/>
    <n v="31084.45"/>
    <s v="Cash"/>
    <x v="5"/>
    <n v="4"/>
    <n v="0.47675536809815949"/>
  </r>
  <r>
    <s v="ORD-00183"/>
    <d v="2025-05-12T00:00:00"/>
    <d v="2025-05-15T00:00:00"/>
    <s v="CUST-0070"/>
    <s v="Joko Pratama"/>
    <s v="Consumer"/>
    <s v="Surabaya"/>
    <s v="Jawa Timur"/>
    <x v="2"/>
    <x v="1"/>
    <s v="Chair"/>
    <s v="PROD-9951"/>
    <x v="19"/>
    <n v="4"/>
    <n v="1765900"/>
    <n v="0.1"/>
    <n v="6357240"/>
    <n v="4706367.3899999997"/>
    <n v="1650872.61"/>
    <s v="Credit Card"/>
    <x v="6"/>
    <n v="3"/>
    <n v="0.25968385808935956"/>
  </r>
  <r>
    <s v="ORD-00184"/>
    <d v="2025-03-21T00:00:00"/>
    <d v="2025-03-24T00:00:00"/>
    <s v="CUST-0165"/>
    <s v="Vina Mahendra"/>
    <s v="Consumer"/>
    <s v="Surabaya"/>
    <s v="Jawa Timur"/>
    <x v="2"/>
    <x v="0"/>
    <s v="Stationery"/>
    <s v="PROD-1004"/>
    <x v="10"/>
    <n v="5"/>
    <n v="29400"/>
    <n v="0.3"/>
    <n v="102900"/>
    <n v="69703.16"/>
    <n v="33196.839999999997"/>
    <s v="Cash"/>
    <x v="20"/>
    <n v="3"/>
    <n v="0.32261263362487846"/>
  </r>
  <r>
    <s v="ORD-00185"/>
    <d v="2024-02-16T00:00:00"/>
    <d v="2024-02-20T00:00:00"/>
    <s v="CUST-0202"/>
    <s v="Lina Santoso"/>
    <s v="Consumer"/>
    <s v="Surabaya"/>
    <s v="Jawa Timur"/>
    <x v="2"/>
    <x v="2"/>
    <s v="Accessories"/>
    <s v="PROD-1626"/>
    <x v="20"/>
    <n v="8"/>
    <n v="246600"/>
    <n v="0.05"/>
    <n v="1874160"/>
    <n v="1167628.1399999999"/>
    <n v="706531.86"/>
    <s v="Cash"/>
    <x v="10"/>
    <n v="4"/>
    <n v="0.37698588167499036"/>
  </r>
  <r>
    <s v="ORD-00186"/>
    <d v="2024-02-14T00:00:00"/>
    <d v="2024-02-19T00:00:00"/>
    <s v="CUST-0036"/>
    <s v="Anisa Nugroho"/>
    <s v="Consumer"/>
    <s v="Medan"/>
    <s v="Sumatera Utara"/>
    <x v="1"/>
    <x v="0"/>
    <s v="Writing"/>
    <s v="PROD-7527"/>
    <x v="5"/>
    <n v="8"/>
    <n v="42600"/>
    <n v="0.15"/>
    <n v="289680"/>
    <n v="187506.34"/>
    <n v="102173.66"/>
    <s v="Cash"/>
    <x v="10"/>
    <n v="5"/>
    <n v="0.35271216514774928"/>
  </r>
  <r>
    <s v="ORD-00187"/>
    <d v="2025-04-17T00:00:00"/>
    <d v="2025-04-23T00:00:00"/>
    <s v="CUST-0246"/>
    <s v="Toni Hidayat"/>
    <s v="Consumer"/>
    <s v="Yogyakarta"/>
    <s v="DI Yogyakarta"/>
    <x v="0"/>
    <x v="1"/>
    <s v="Storage"/>
    <s v="PROD-2602"/>
    <x v="3"/>
    <n v="4"/>
    <n v="934000"/>
    <n v="0"/>
    <n v="3736000"/>
    <n v="2619736.2599999998"/>
    <n v="1116263.74"/>
    <s v="Credit Card"/>
    <x v="5"/>
    <n v="6"/>
    <n v="0.29878579764453961"/>
  </r>
  <r>
    <s v="ORD-00188"/>
    <d v="2025-12-30T00:00:00"/>
    <d v="2026-01-04T00:00:00"/>
    <s v="CUST-0056"/>
    <s v="Nabila Putra"/>
    <s v="Consumer"/>
    <s v="Medan"/>
    <s v="Sumatera Utara"/>
    <x v="1"/>
    <x v="0"/>
    <s v="Stationery"/>
    <s v="PROD-1004"/>
    <x v="10"/>
    <n v="3"/>
    <n v="29100"/>
    <n v="0.1"/>
    <n v="78570"/>
    <n v="45723.14"/>
    <n v="32846.86"/>
    <s v="E-Wallet"/>
    <x v="25"/>
    <n v="5"/>
    <n v="0.41805854651902763"/>
  </r>
  <r>
    <s v="ORD-00189"/>
    <d v="2024-12-28T00:00:00"/>
    <d v="2024-12-30T00:00:00"/>
    <s v="CUST-0051"/>
    <s v="Indra Putra"/>
    <s v="Small Business"/>
    <s v="Makassar"/>
    <s v="Sulawesi Selatan"/>
    <x v="2"/>
    <x v="0"/>
    <s v="Paper"/>
    <s v="PROD-7955"/>
    <x v="8"/>
    <n v="8"/>
    <n v="56400"/>
    <n v="0.15"/>
    <n v="383520"/>
    <n v="239169.86"/>
    <n v="144350.14000000001"/>
    <s v="Cash"/>
    <x v="23"/>
    <n v="2"/>
    <n v="0.3763823007926575"/>
  </r>
  <r>
    <s v="ORD-00190"/>
    <d v="2025-11-11T00:00:00"/>
    <d v="2025-11-17T00:00:00"/>
    <s v="CUST-0177"/>
    <s v="Aldi Kusuma"/>
    <s v="Consumer"/>
    <s v="Makassar"/>
    <s v="Sulawesi Selatan"/>
    <x v="2"/>
    <x v="1"/>
    <s v="Storage"/>
    <s v="PROD-7524"/>
    <x v="1"/>
    <n v="2"/>
    <n v="1048500"/>
    <n v="0.1"/>
    <n v="1887300"/>
    <n v="1447435.74"/>
    <n v="439864.26"/>
    <s v="E-Wallet"/>
    <x v="34"/>
    <n v="6"/>
    <n v="0.23306536321729454"/>
  </r>
  <r>
    <s v="ORD-00191"/>
    <d v="2023-08-03T00:00:00"/>
    <d v="2023-08-06T00:00:00"/>
    <s v="CUST-0179"/>
    <s v="Putri Santoso"/>
    <s v="Small Business"/>
    <s v="Bandung"/>
    <s v="Jawa Barat"/>
    <x v="1"/>
    <x v="1"/>
    <s v="Chair"/>
    <s v="PROD-9951"/>
    <x v="19"/>
    <n v="2"/>
    <n v="1707100"/>
    <n v="0.15"/>
    <n v="2902070"/>
    <n v="2293357.92"/>
    <n v="608712.07999999996"/>
    <s v="Credit Card"/>
    <x v="0"/>
    <n v="3"/>
    <n v="0.20975099842526196"/>
  </r>
  <r>
    <s v="ORD-00192"/>
    <d v="2025-06-16T00:00:00"/>
    <d v="2025-06-22T00:00:00"/>
    <s v="CUST-0125"/>
    <s v="Raka Wijaya"/>
    <s v="Consumer"/>
    <s v="Bandung"/>
    <s v="Jawa Barat"/>
    <x v="1"/>
    <x v="0"/>
    <s v="Binder"/>
    <s v="PROD-7352"/>
    <x v="16"/>
    <n v="1"/>
    <n v="54600"/>
    <n v="0"/>
    <n v="54600"/>
    <n v="30500.84"/>
    <n v="24099.16"/>
    <s v="Bank Transfer"/>
    <x v="7"/>
    <n v="6"/>
    <n v="0.44137655677655679"/>
  </r>
  <r>
    <s v="ORD-00193"/>
    <d v="2023-11-24T00:00:00"/>
    <d v="2023-11-27T00:00:00"/>
    <s v="CUST-0102"/>
    <s v="Oki Anggraini"/>
    <s v="Corporate"/>
    <s v="Semarang"/>
    <s v="Jawa Tengah"/>
    <x v="0"/>
    <x v="1"/>
    <s v="Desk"/>
    <s v="PROD-4040"/>
    <x v="7"/>
    <n v="1"/>
    <n v="3290500"/>
    <n v="0.05"/>
    <n v="3125975"/>
    <n v="2408982.7599999998"/>
    <n v="716992.24"/>
    <s v="Credit Card"/>
    <x v="8"/>
    <n v="3"/>
    <n v="0.22936595462215789"/>
  </r>
  <r>
    <s v="ORD-00194"/>
    <d v="2025-05-29T00:00:00"/>
    <d v="2025-06-02T00:00:00"/>
    <s v="CUST-0101"/>
    <s v="Oki Santoso"/>
    <s v="Consumer"/>
    <s v="Semarang"/>
    <s v="Jawa Tengah"/>
    <x v="0"/>
    <x v="2"/>
    <s v="Smartphone"/>
    <s v="PROD-6076"/>
    <x v="15"/>
    <n v="3"/>
    <n v="5056700"/>
    <n v="0.1"/>
    <n v="13653090"/>
    <n v="11349735.140000001"/>
    <n v="2303354.86"/>
    <s v="Bank Transfer"/>
    <x v="6"/>
    <n v="4"/>
    <n v="0.16870575525393885"/>
  </r>
  <r>
    <s v="ORD-00195"/>
    <d v="2024-06-21T00:00:00"/>
    <d v="2024-06-27T00:00:00"/>
    <s v="CUST-0153"/>
    <s v="Rian Anggraini"/>
    <s v="Consumer"/>
    <s v="Makassar"/>
    <s v="Sulawesi Selatan"/>
    <x v="2"/>
    <x v="0"/>
    <s v="Binder"/>
    <s v="PROD-7352"/>
    <x v="16"/>
    <n v="3"/>
    <n v="54700"/>
    <n v="0.2"/>
    <n v="131280"/>
    <n v="89604.55"/>
    <n v="41675.449999999997"/>
    <s v="Cash"/>
    <x v="35"/>
    <n v="6"/>
    <n v="0.3174546770262035"/>
  </r>
  <r>
    <s v="ORD-00196"/>
    <d v="2023-06-23T00:00:00"/>
    <d v="2023-06-29T00:00:00"/>
    <s v="CUST-0197"/>
    <s v="Nadia Wijaya"/>
    <s v="Consumer"/>
    <s v="Semarang"/>
    <s v="Jawa Tengah"/>
    <x v="0"/>
    <x v="2"/>
    <s v="Laptop"/>
    <s v="PROD-8448"/>
    <x v="12"/>
    <n v="2"/>
    <n v="5679700"/>
    <n v="0.05"/>
    <n v="10791430"/>
    <n v="9337748.0999999996"/>
    <n v="1453681.9"/>
    <s v="Credit Card"/>
    <x v="9"/>
    <n v="6"/>
    <n v="0.13470706847933961"/>
  </r>
  <r>
    <s v="ORD-00197"/>
    <d v="2025-09-23T00:00:00"/>
    <d v="2025-09-29T00:00:00"/>
    <s v="CUST-0184"/>
    <s v="Aldi Kusuma"/>
    <s v="Corporate"/>
    <s v="Bogor"/>
    <s v="Jawa Barat"/>
    <x v="1"/>
    <x v="1"/>
    <s v="Storage"/>
    <s v="PROD-2602"/>
    <x v="3"/>
    <n v="1"/>
    <n v="818800"/>
    <n v="0.2"/>
    <n v="655040"/>
    <n v="548465.11"/>
    <n v="106574.89"/>
    <s v="Cash"/>
    <x v="32"/>
    <n v="6"/>
    <n v="0.16269981985832926"/>
  </r>
  <r>
    <s v="ORD-00198"/>
    <d v="2023-10-07T00:00:00"/>
    <d v="2023-10-09T00:00:00"/>
    <s v="CUST-0113"/>
    <s v="Joko Pratama"/>
    <s v="Corporate"/>
    <s v="Malang"/>
    <s v="Jawa Timur"/>
    <x v="2"/>
    <x v="0"/>
    <s v="Stationery"/>
    <s v="PROD-5388"/>
    <x v="18"/>
    <n v="4"/>
    <n v="114700"/>
    <n v="0"/>
    <n v="458800"/>
    <n v="267662.07"/>
    <n v="191137.93"/>
    <s v="Cash"/>
    <x v="30"/>
    <n v="2"/>
    <n v="0.41660403225806453"/>
  </r>
  <r>
    <s v="ORD-00199"/>
    <d v="2024-07-16T00:00:00"/>
    <d v="2024-07-18T00:00:00"/>
    <s v="CUST-0188"/>
    <s v="Sari Nugroho"/>
    <s v="Corporate"/>
    <s v="Denpasar"/>
    <s v="Bali"/>
    <x v="2"/>
    <x v="1"/>
    <s v="Chair"/>
    <s v="PROD-0956"/>
    <x v="6"/>
    <n v="2"/>
    <n v="601200"/>
    <n v="0"/>
    <n v="1202400"/>
    <n v="808601.26"/>
    <n v="393798.74"/>
    <s v="Cash"/>
    <x v="29"/>
    <n v="2"/>
    <n v="0.3275105954757152"/>
  </r>
  <r>
    <s v="ORD-00200"/>
    <d v="2023-03-27T00:00:00"/>
    <d v="2023-04-03T00:00:00"/>
    <s v="CUST-0045"/>
    <s v="Oki Nugroho"/>
    <s v="Consumer"/>
    <s v="Malang"/>
    <s v="Jawa Timur"/>
    <x v="2"/>
    <x v="0"/>
    <s v="Writing"/>
    <s v="PROD-7529"/>
    <x v="0"/>
    <n v="1"/>
    <n v="76100"/>
    <n v="0.05"/>
    <n v="72295"/>
    <n v="40901.47"/>
    <n v="31393.53"/>
    <s v="Credit Card"/>
    <x v="24"/>
    <n v="7"/>
    <n v="0.4342420637665122"/>
  </r>
  <r>
    <s v="ORD-00201"/>
    <d v="2023-08-29T00:00:00"/>
    <d v="2023-09-05T00:00:00"/>
    <s v="CUST-0031"/>
    <s v="Toni Permata"/>
    <s v="Corporate"/>
    <s v="Makassar"/>
    <s v="Sulawesi Selatan"/>
    <x v="2"/>
    <x v="0"/>
    <s v="Writing"/>
    <s v="PROD-7529"/>
    <x v="0"/>
    <n v="1"/>
    <n v="63300"/>
    <n v="0"/>
    <n v="63300"/>
    <n v="33392.480000000003"/>
    <n v="29907.52"/>
    <s v="Cash"/>
    <x v="0"/>
    <n v="7"/>
    <n v="0.47247266982622432"/>
  </r>
  <r>
    <s v="ORD-00202"/>
    <d v="2025-12-26T00:00:00"/>
    <d v="2025-12-29T00:00:00"/>
    <s v="CUST-0049"/>
    <s v="Eka Utami"/>
    <s v="Small Business"/>
    <s v="Surabaya"/>
    <s v="Jawa Timur"/>
    <x v="2"/>
    <x v="1"/>
    <s v="Chair"/>
    <s v="PROD-0956"/>
    <x v="6"/>
    <n v="1"/>
    <n v="623200"/>
    <n v="0.2"/>
    <n v="498560"/>
    <n v="430003.4"/>
    <n v="68556.600000000006"/>
    <s v="E-Wallet"/>
    <x v="25"/>
    <n v="3"/>
    <n v="0.1375092265725289"/>
  </r>
  <r>
    <s v="ORD-00203"/>
    <d v="2025-04-22T00:00:00"/>
    <d v="2025-04-23T00:00:00"/>
    <s v="CUST-0138"/>
    <s v="Wulan Hidayat"/>
    <s v="Consumer"/>
    <s v="Bogor"/>
    <s v="Jawa Barat"/>
    <x v="1"/>
    <x v="0"/>
    <s v="Writing"/>
    <s v="PROD-7527"/>
    <x v="5"/>
    <n v="5"/>
    <n v="48000"/>
    <n v="0.1"/>
    <n v="216000"/>
    <n v="126500.98"/>
    <n v="89499.02"/>
    <s v="E-Wallet"/>
    <x v="5"/>
    <n v="1"/>
    <n v="0.41434731481481485"/>
  </r>
  <r>
    <s v="ORD-00204"/>
    <d v="2025-02-07T00:00:00"/>
    <d v="2025-02-11T00:00:00"/>
    <s v="CUST-0002"/>
    <s v="Bayu Utami"/>
    <s v="Consumer"/>
    <s v="Malang"/>
    <s v="Jawa Timur"/>
    <x v="2"/>
    <x v="2"/>
    <s v="Laptop"/>
    <s v="PROD-8448"/>
    <x v="12"/>
    <n v="3"/>
    <n v="6667400"/>
    <n v="0.05"/>
    <n v="19002090"/>
    <n v="16216916.18"/>
    <n v="2785173.82"/>
    <s v="E-Wallet"/>
    <x v="3"/>
    <n v="4"/>
    <n v="0.14657197287245771"/>
  </r>
  <r>
    <s v="ORD-00205"/>
    <d v="2023-07-10T00:00:00"/>
    <d v="2023-07-16T00:00:00"/>
    <s v="CUST-0146"/>
    <s v="Kartika Saputra"/>
    <s v="Corporate"/>
    <s v="Bandung"/>
    <s v="Jawa Barat"/>
    <x v="1"/>
    <x v="0"/>
    <s v="Binder"/>
    <s v="PROD-7352"/>
    <x v="16"/>
    <n v="1"/>
    <n v="55700"/>
    <n v="0"/>
    <n v="55700"/>
    <n v="29075.52"/>
    <n v="26624.48"/>
    <s v="Cash"/>
    <x v="13"/>
    <n v="6"/>
    <n v="0.47799784560143627"/>
  </r>
  <r>
    <s v="ORD-00206"/>
    <d v="2023-09-25T00:00:00"/>
    <d v="2023-09-30T00:00:00"/>
    <s v="CUST-0220"/>
    <s v="Gita Mahendra"/>
    <s v="Consumer"/>
    <s v="Jakarta"/>
    <s v="DKI Jakarta"/>
    <x v="1"/>
    <x v="0"/>
    <s v="Binder"/>
    <s v="PROD-7352"/>
    <x v="16"/>
    <n v="1"/>
    <n v="61900"/>
    <n v="0"/>
    <n v="61900"/>
    <n v="33113.660000000003"/>
    <n v="28786.34"/>
    <s v="Cash"/>
    <x v="33"/>
    <n v="5"/>
    <n v="0.46504588045234246"/>
  </r>
  <r>
    <s v="ORD-00207"/>
    <d v="2023-09-28T00:00:00"/>
    <d v="2023-10-04T00:00:00"/>
    <s v="CUST-0157"/>
    <s v="Farhan Mahendra"/>
    <s v="Corporate"/>
    <s v="Bandung"/>
    <s v="Jawa Barat"/>
    <x v="1"/>
    <x v="2"/>
    <s v="Accessories"/>
    <s v="PROD-3744"/>
    <x v="4"/>
    <n v="1"/>
    <n v="130800"/>
    <n v="0.1"/>
    <n v="117720"/>
    <n v="72581.539999999994"/>
    <n v="45138.46"/>
    <s v="E-Wallet"/>
    <x v="33"/>
    <n v="6"/>
    <n v="0.38343917770981989"/>
  </r>
  <r>
    <s v="ORD-00208"/>
    <d v="2024-04-24T00:00:00"/>
    <d v="2024-04-28T00:00:00"/>
    <s v="CUST-0176"/>
    <s v="Anisa Santoso"/>
    <s v="Consumer"/>
    <s v="Jakarta"/>
    <s v="DKI Jakarta"/>
    <x v="1"/>
    <x v="0"/>
    <s v="Paper"/>
    <s v="PROD-9601"/>
    <x v="9"/>
    <n v="1"/>
    <n v="72200"/>
    <n v="0.1"/>
    <n v="64980"/>
    <n v="39832.76"/>
    <n v="25147.24"/>
    <s v="Bank Transfer"/>
    <x v="1"/>
    <n v="4"/>
    <n v="0.38699969221298863"/>
  </r>
  <r>
    <s v="ORD-00209"/>
    <d v="2025-05-14T00:00:00"/>
    <d v="2025-05-20T00:00:00"/>
    <s v="CUST-0069"/>
    <s v="Wulan Ramadhan"/>
    <s v="Consumer"/>
    <s v="Semarang"/>
    <s v="Jawa Tengah"/>
    <x v="0"/>
    <x v="2"/>
    <s v="Laptop"/>
    <s v="PROD-8448"/>
    <x v="12"/>
    <n v="1"/>
    <n v="5983300"/>
    <n v="0"/>
    <n v="5983300"/>
    <n v="4785461.2300000004"/>
    <n v="1197838.77"/>
    <s v="Bank Transfer"/>
    <x v="6"/>
    <n v="6"/>
    <n v="0.20019701001119783"/>
  </r>
  <r>
    <s v="ORD-00210"/>
    <d v="2023-10-20T00:00:00"/>
    <d v="2023-10-21T00:00:00"/>
    <s v="CUST-0227"/>
    <s v="Bayu Putra"/>
    <s v="Corporate"/>
    <s v="Makassar"/>
    <s v="Sulawesi Selatan"/>
    <x v="2"/>
    <x v="1"/>
    <s v="Chair"/>
    <s v="PROD-9951"/>
    <x v="19"/>
    <n v="2"/>
    <n v="1657000"/>
    <n v="0.15"/>
    <n v="2816900"/>
    <n v="2339441.7999999998"/>
    <n v="477458.2"/>
    <s v="Cash"/>
    <x v="30"/>
    <n v="1"/>
    <n v="0.16949774574887289"/>
  </r>
  <r>
    <s v="ORD-00211"/>
    <d v="2023-06-27T00:00:00"/>
    <d v="2023-06-28T00:00:00"/>
    <s v="CUST-0044"/>
    <s v="Hadi Saputra"/>
    <s v="Corporate"/>
    <s v="Makassar"/>
    <s v="Sulawesi Selatan"/>
    <x v="2"/>
    <x v="2"/>
    <s v="Laptop"/>
    <s v="PROD-8448"/>
    <x v="12"/>
    <n v="8"/>
    <n v="5912100"/>
    <n v="0"/>
    <n v="47296800"/>
    <n v="37307935.119999997"/>
    <n v="9988864.8800000008"/>
    <s v="E-Wallet"/>
    <x v="9"/>
    <n v="1"/>
    <n v="0.21119536374553882"/>
  </r>
  <r>
    <s v="ORD-00212"/>
    <d v="2024-08-06T00:00:00"/>
    <d v="2024-08-13T00:00:00"/>
    <s v="CUST-0123"/>
    <s v="Putri Hidayat"/>
    <s v="Consumer"/>
    <s v="Yogyakarta"/>
    <s v="DI Yogyakarta"/>
    <x v="0"/>
    <x v="0"/>
    <s v="Paper"/>
    <s v="PROD-7955"/>
    <x v="8"/>
    <n v="4"/>
    <n v="56000"/>
    <n v="0"/>
    <n v="224000"/>
    <n v="131420.97"/>
    <n v="92579.03"/>
    <s v="Credit Card"/>
    <x v="28"/>
    <n v="7"/>
    <n v="0.41329924107142857"/>
  </r>
  <r>
    <s v="ORD-00213"/>
    <d v="2023-08-19T00:00:00"/>
    <d v="2023-08-21T00:00:00"/>
    <s v="CUST-0216"/>
    <s v="Lina Saputra"/>
    <s v="Corporate"/>
    <s v="Bandung"/>
    <s v="Jawa Barat"/>
    <x v="1"/>
    <x v="1"/>
    <s v="Storage"/>
    <s v="PROD-7524"/>
    <x v="1"/>
    <n v="10"/>
    <n v="1083400"/>
    <n v="0"/>
    <n v="10834000"/>
    <n v="7823187.6100000003"/>
    <n v="3010812.39"/>
    <s v="Bank Transfer"/>
    <x v="0"/>
    <n v="2"/>
    <n v="0.27790404190511353"/>
  </r>
  <r>
    <s v="ORD-00214"/>
    <d v="2023-12-20T00:00:00"/>
    <d v="2023-12-27T00:00:00"/>
    <s v="CUST-0260"/>
    <s v="Joko Ramadhan"/>
    <s v="Corporate"/>
    <s v="Jakarta"/>
    <s v="DKI Jakarta"/>
    <x v="1"/>
    <x v="1"/>
    <s v="Chair"/>
    <s v="PROD-9951"/>
    <x v="19"/>
    <n v="1"/>
    <n v="1590300"/>
    <n v="0"/>
    <n v="1590300"/>
    <n v="1104814.94"/>
    <n v="485485.06"/>
    <s v="Bank Transfer"/>
    <x v="4"/>
    <n v="7"/>
    <n v="0.30527891592781237"/>
  </r>
  <r>
    <s v="ORD-00215"/>
    <d v="2025-10-23T00:00:00"/>
    <d v="2025-10-30T00:00:00"/>
    <s v="CUST-0080"/>
    <s v="Sari Permata"/>
    <s v="Consumer"/>
    <s v="Malang"/>
    <s v="Jawa Timur"/>
    <x v="2"/>
    <x v="1"/>
    <s v="Storage"/>
    <s v="PROD-2602"/>
    <x v="3"/>
    <n v="1"/>
    <n v="842300"/>
    <n v="0.05"/>
    <n v="800185"/>
    <n v="534582.69999999995"/>
    <n v="265602.3"/>
    <s v="Credit Card"/>
    <x v="27"/>
    <n v="7"/>
    <n v="0.33192611708542397"/>
  </r>
  <r>
    <s v="ORD-00216"/>
    <d v="2025-03-11T00:00:00"/>
    <d v="2025-03-16T00:00:00"/>
    <s v="CUST-0029"/>
    <s v="Joko Ramadhan"/>
    <s v="Corporate"/>
    <s v="Yogyakarta"/>
    <s v="DI Yogyakarta"/>
    <x v="0"/>
    <x v="0"/>
    <s v="Paper"/>
    <s v="PROD-9601"/>
    <x v="9"/>
    <n v="1"/>
    <n v="69800"/>
    <n v="0.05"/>
    <n v="66310"/>
    <n v="40845.86"/>
    <n v="25464.14"/>
    <s v="Credit Card"/>
    <x v="20"/>
    <n v="5"/>
    <n v="0.38401658874981148"/>
  </r>
  <r>
    <s v="ORD-00217"/>
    <d v="2023-12-26T00:00:00"/>
    <d v="2023-12-27T00:00:00"/>
    <s v="CUST-0065"/>
    <s v="Farhan Utami"/>
    <s v="Consumer"/>
    <s v="Jakarta"/>
    <s v="DKI Jakarta"/>
    <x v="1"/>
    <x v="2"/>
    <s v="Smartphone"/>
    <s v="PROD-2176"/>
    <x v="17"/>
    <n v="2"/>
    <n v="3431200"/>
    <n v="0.15"/>
    <n v="5833040"/>
    <n v="5067854.54"/>
    <n v="765185.46"/>
    <s v="E-Wallet"/>
    <x v="4"/>
    <n v="1"/>
    <n v="0.13118124682841192"/>
  </r>
  <r>
    <s v="ORD-00218"/>
    <d v="2024-07-04T00:00:00"/>
    <d v="2024-07-10T00:00:00"/>
    <s v="CUST-0255"/>
    <s v="Oki Saputra"/>
    <s v="Corporate"/>
    <s v="Surabaya"/>
    <s v="Jawa Timur"/>
    <x v="2"/>
    <x v="0"/>
    <s v="Paper"/>
    <s v="PROD-7955"/>
    <x v="8"/>
    <n v="2"/>
    <n v="55600"/>
    <n v="0.3"/>
    <n v="77840"/>
    <n v="63091.39"/>
    <n v="14748.61"/>
    <s v="E-Wallet"/>
    <x v="29"/>
    <n v="6"/>
    <n v="0.18947340698869478"/>
  </r>
  <r>
    <s v="ORD-00219"/>
    <d v="2025-01-07T00:00:00"/>
    <d v="2025-01-08T00:00:00"/>
    <s v="CUST-0002"/>
    <s v="Bima Nugroho"/>
    <s v="Consumer"/>
    <s v="Bogor"/>
    <s v="Jawa Barat"/>
    <x v="1"/>
    <x v="1"/>
    <s v="Storage"/>
    <s v="PROD-7524"/>
    <x v="1"/>
    <n v="4"/>
    <n v="1074800"/>
    <n v="0.1"/>
    <n v="3869280"/>
    <n v="2821115.65"/>
    <n v="1048164.35"/>
    <s v="E-Wallet"/>
    <x v="17"/>
    <n v="1"/>
    <n v="0.27089390015713516"/>
  </r>
  <r>
    <s v="ORD-00220"/>
    <d v="2023-01-26T00:00:00"/>
    <d v="2023-01-28T00:00:00"/>
    <s v="CUST-0215"/>
    <s v="Hadi Permata"/>
    <s v="Small Business"/>
    <s v="Malang"/>
    <s v="Jawa Timur"/>
    <x v="2"/>
    <x v="2"/>
    <s v="Accessories"/>
    <s v="PROD-4943"/>
    <x v="2"/>
    <n v="6"/>
    <n v="528000"/>
    <n v="0.1"/>
    <n v="2851200"/>
    <n v="2099320.13"/>
    <n v="751879.87"/>
    <s v="Credit Card"/>
    <x v="11"/>
    <n v="2"/>
    <n v="0.26370646394500563"/>
  </r>
  <r>
    <s v="ORD-00221"/>
    <d v="2024-05-23T00:00:00"/>
    <d v="2024-05-27T00:00:00"/>
    <s v="CUST-0024"/>
    <s v="Maya Santoso"/>
    <s v="Corporate"/>
    <s v="Yogyakarta"/>
    <s v="DI Yogyakarta"/>
    <x v="0"/>
    <x v="0"/>
    <s v="Binder"/>
    <s v="PROD-7352"/>
    <x v="16"/>
    <n v="1"/>
    <n v="58700"/>
    <n v="0"/>
    <n v="58700"/>
    <n v="30458.11"/>
    <n v="28241.89"/>
    <s v="E-Wallet"/>
    <x v="15"/>
    <n v="4"/>
    <n v="0.48112248722316864"/>
  </r>
  <r>
    <s v="ORD-00222"/>
    <d v="2025-08-10T00:00:00"/>
    <d v="2025-08-17T00:00:00"/>
    <s v="CUST-0125"/>
    <s v="Oki Permata"/>
    <s v="Consumer"/>
    <s v="Surabaya"/>
    <s v="Jawa Timur"/>
    <x v="2"/>
    <x v="2"/>
    <s v="Accessories"/>
    <s v="PROD-3744"/>
    <x v="4"/>
    <n v="1"/>
    <n v="118000"/>
    <n v="0.1"/>
    <n v="106200"/>
    <n v="67721.94"/>
    <n v="38478.06"/>
    <s v="Cash"/>
    <x v="12"/>
    <n v="7"/>
    <n v="0.36231694915254237"/>
  </r>
  <r>
    <s v="ORD-00223"/>
    <d v="2025-10-07T00:00:00"/>
    <d v="2025-10-14T00:00:00"/>
    <s v="CUST-0005"/>
    <s v="Kartika Pratama"/>
    <s v="Consumer"/>
    <s v="Bogor"/>
    <s v="Jawa Barat"/>
    <x v="1"/>
    <x v="0"/>
    <s v="Writing"/>
    <s v="PROD-7529"/>
    <x v="0"/>
    <n v="1"/>
    <n v="69300"/>
    <n v="0.1"/>
    <n v="62370"/>
    <n v="38924.49"/>
    <n v="23445.51"/>
    <s v="Cash"/>
    <x v="27"/>
    <n v="7"/>
    <n v="0.37591005291005286"/>
  </r>
  <r>
    <s v="ORD-00224"/>
    <d v="2025-02-09T00:00:00"/>
    <d v="2025-02-16T00:00:00"/>
    <s v="CUST-0144"/>
    <s v="Citra Pratama"/>
    <s v="Consumer"/>
    <s v="Bandung"/>
    <s v="Jawa Barat"/>
    <x v="1"/>
    <x v="0"/>
    <s v="Binder"/>
    <s v="PROD-9396"/>
    <x v="21"/>
    <n v="2"/>
    <n v="42200"/>
    <n v="0.3"/>
    <n v="59080"/>
    <n v="40871.06"/>
    <n v="18208.939999999999"/>
    <s v="Credit Card"/>
    <x v="3"/>
    <n v="7"/>
    <n v="0.30820819228165197"/>
  </r>
  <r>
    <s v="ORD-00225"/>
    <d v="2024-04-19T00:00:00"/>
    <d v="2024-04-26T00:00:00"/>
    <s v="CUST-0032"/>
    <s v="Nadia Ramadhan"/>
    <s v="Consumer"/>
    <s v="Surabaya"/>
    <s v="Jawa Timur"/>
    <x v="2"/>
    <x v="1"/>
    <s v="Storage"/>
    <s v="PROD-2602"/>
    <x v="3"/>
    <n v="3"/>
    <n v="879700"/>
    <n v="0.1"/>
    <n v="2375190"/>
    <n v="1717586.15"/>
    <n v="657603.85"/>
    <s v="Bank Transfer"/>
    <x v="1"/>
    <n v="7"/>
    <n v="0.27686368248434862"/>
  </r>
  <r>
    <s v="ORD-00226"/>
    <d v="2023-09-25T00:00:00"/>
    <d v="2023-09-27T00:00:00"/>
    <s v="CUST-0056"/>
    <s v="Eka Santoso"/>
    <s v="Corporate"/>
    <s v="Malang"/>
    <s v="Jawa Timur"/>
    <x v="2"/>
    <x v="2"/>
    <s v="Accessories"/>
    <s v="PROD-4943"/>
    <x v="2"/>
    <n v="2"/>
    <n v="465500"/>
    <n v="0"/>
    <n v="931000"/>
    <n v="563570.27"/>
    <n v="367429.73"/>
    <s v="E-Wallet"/>
    <x v="33"/>
    <n v="2"/>
    <n v="0.39466136412459718"/>
  </r>
  <r>
    <s v="ORD-00227"/>
    <d v="2023-12-03T00:00:00"/>
    <d v="2023-12-07T00:00:00"/>
    <s v="CUST-0156"/>
    <s v="Anisa Mahendra"/>
    <s v="Corporate"/>
    <s v="Bandung"/>
    <s v="Jawa Barat"/>
    <x v="1"/>
    <x v="1"/>
    <s v="Desk"/>
    <s v="PROD-4040"/>
    <x v="7"/>
    <n v="2"/>
    <n v="3156100"/>
    <n v="0.2"/>
    <n v="5049760"/>
    <n v="4249551.68"/>
    <n v="800208.32"/>
    <s v="Credit Card"/>
    <x v="4"/>
    <n v="4"/>
    <n v="0.15846462406134151"/>
  </r>
  <r>
    <s v="ORD-00228"/>
    <d v="2023-03-24T00:00:00"/>
    <d v="2023-03-26T00:00:00"/>
    <s v="CUST-0090"/>
    <s v="Aldi Hidayat"/>
    <s v="Consumer"/>
    <s v="Bogor"/>
    <s v="Jawa Barat"/>
    <x v="1"/>
    <x v="0"/>
    <s v="Binder"/>
    <s v="PROD-7352"/>
    <x v="16"/>
    <n v="8"/>
    <n v="55300"/>
    <n v="0"/>
    <n v="442400"/>
    <n v="231857.47"/>
    <n v="210542.53"/>
    <s v="Credit Card"/>
    <x v="24"/>
    <n v="2"/>
    <n v="0.47590987793851719"/>
  </r>
  <r>
    <s v="ORD-00229"/>
    <d v="2025-07-15T00:00:00"/>
    <d v="2025-07-20T00:00:00"/>
    <s v="CUST-0102"/>
    <s v="Anisa Hidayat"/>
    <s v="Consumer"/>
    <s v="Bandung"/>
    <s v="Jawa Barat"/>
    <x v="1"/>
    <x v="0"/>
    <s v="Writing"/>
    <s v="PROD-7529"/>
    <x v="0"/>
    <n v="1"/>
    <n v="62100"/>
    <n v="0.15"/>
    <n v="52785"/>
    <n v="32826.35"/>
    <n v="19958.650000000001"/>
    <s v="Credit Card"/>
    <x v="19"/>
    <n v="5"/>
    <n v="0.37811215307378993"/>
  </r>
  <r>
    <s v="ORD-00230"/>
    <d v="2025-02-01T00:00:00"/>
    <d v="2025-02-07T00:00:00"/>
    <s v="CUST-0066"/>
    <s v="Citra Siregar"/>
    <s v="Corporate"/>
    <s v="Makassar"/>
    <s v="Sulawesi Selatan"/>
    <x v="2"/>
    <x v="0"/>
    <s v="Paper"/>
    <s v="PROD-9601"/>
    <x v="9"/>
    <n v="1"/>
    <n v="69500"/>
    <n v="0.2"/>
    <n v="55600"/>
    <n v="40618.21"/>
    <n v="14981.79"/>
    <s v="Bank Transfer"/>
    <x v="3"/>
    <n v="6"/>
    <n v="0.26945665467625901"/>
  </r>
  <r>
    <s v="ORD-00231"/>
    <d v="2024-11-10T00:00:00"/>
    <d v="2024-11-11T00:00:00"/>
    <s v="CUST-0089"/>
    <s v="Lina Putra"/>
    <s v="Consumer"/>
    <s v="Jakarta"/>
    <s v="DKI Jakarta"/>
    <x v="1"/>
    <x v="2"/>
    <s v="Printer"/>
    <s v="PROD-5410"/>
    <x v="11"/>
    <n v="5"/>
    <n v="1431000"/>
    <n v="0"/>
    <n v="7155000"/>
    <n v="5351573.16"/>
    <n v="1803426.84"/>
    <s v="Cash"/>
    <x v="2"/>
    <n v="1"/>
    <n v="0.25205127044025161"/>
  </r>
  <r>
    <s v="ORD-00232"/>
    <d v="2024-01-19T00:00:00"/>
    <d v="2024-01-22T00:00:00"/>
    <s v="CUST-0045"/>
    <s v="Indra Hidayat"/>
    <s v="Corporate"/>
    <s v="Jakarta"/>
    <s v="DKI Jakarta"/>
    <x v="1"/>
    <x v="2"/>
    <s v="Smartphone"/>
    <s v="PROD-2176"/>
    <x v="17"/>
    <n v="3"/>
    <n v="3231200"/>
    <n v="0.2"/>
    <n v="7754880"/>
    <n v="7457560.3799999999"/>
    <n v="297319.62"/>
    <s v="Credit Card"/>
    <x v="26"/>
    <n v="3"/>
    <n v="3.8339680304530825E-2"/>
  </r>
  <r>
    <s v="ORD-00233"/>
    <d v="2023-10-09T00:00:00"/>
    <d v="2023-10-13T00:00:00"/>
    <s v="CUST-0258"/>
    <s v="Kartika Hidayat"/>
    <s v="Corporate"/>
    <s v="Medan"/>
    <s v="Sumatera Utara"/>
    <x v="1"/>
    <x v="2"/>
    <s v="Smartphone"/>
    <s v="PROD-6076"/>
    <x v="15"/>
    <n v="4"/>
    <n v="4601300"/>
    <n v="0.1"/>
    <n v="16564680"/>
    <n v="13983465.73"/>
    <n v="2581214.27"/>
    <s v="Cash"/>
    <x v="30"/>
    <n v="4"/>
    <n v="0.15582638903981241"/>
  </r>
  <r>
    <s v="ORD-00234"/>
    <d v="2024-07-07T00:00:00"/>
    <d v="2024-07-09T00:00:00"/>
    <s v="CUST-0120"/>
    <s v="Fajar Santoso"/>
    <s v="Small Business"/>
    <s v="Jakarta"/>
    <s v="DKI Jakarta"/>
    <x v="1"/>
    <x v="2"/>
    <s v="Smartphone"/>
    <s v="PROD-6076"/>
    <x v="15"/>
    <n v="1"/>
    <n v="5255200"/>
    <n v="0.1"/>
    <n v="4729680"/>
    <n v="4137246.12"/>
    <n v="592433.88"/>
    <s v="E-Wallet"/>
    <x v="29"/>
    <n v="2"/>
    <n v="0.12525876592073881"/>
  </r>
  <r>
    <s v="ORD-00235"/>
    <d v="2024-05-22T00:00:00"/>
    <d v="2024-05-28T00:00:00"/>
    <s v="CUST-0163"/>
    <s v="Rizky Mahendra"/>
    <s v="Corporate"/>
    <s v="Semarang"/>
    <s v="Jawa Tengah"/>
    <x v="0"/>
    <x v="2"/>
    <s v="Laptop"/>
    <s v="PROD-7745"/>
    <x v="14"/>
    <n v="2"/>
    <n v="8894000"/>
    <n v="0.2"/>
    <n v="14230400"/>
    <n v="13498540.800000001"/>
    <n v="731859.2"/>
    <s v="Cash"/>
    <x v="15"/>
    <n v="6"/>
    <n v="5.142927816505509E-2"/>
  </r>
  <r>
    <s v="ORD-00236"/>
    <d v="2025-01-04T00:00:00"/>
    <d v="2025-01-09T00:00:00"/>
    <s v="CUST-0090"/>
    <s v="Putri Pratama"/>
    <s v="Corporate"/>
    <s v="Makassar"/>
    <s v="Sulawesi Selatan"/>
    <x v="2"/>
    <x v="2"/>
    <s v="Accessories"/>
    <s v="PROD-4943"/>
    <x v="2"/>
    <n v="5"/>
    <n v="523000"/>
    <n v="0.3"/>
    <n v="1830500"/>
    <n v="1654498.06"/>
    <n v="176001.94"/>
    <s v="Credit Card"/>
    <x v="17"/>
    <n v="5"/>
    <n v="9.6149653100245841E-2"/>
  </r>
  <r>
    <s v="ORD-00237"/>
    <d v="2023-07-04T00:00:00"/>
    <d v="2023-07-05T00:00:00"/>
    <s v="CUST-0091"/>
    <s v="Rian Utami"/>
    <s v="Corporate"/>
    <s v="Jakarta"/>
    <s v="DKI Jakarta"/>
    <x v="1"/>
    <x v="2"/>
    <s v="Smartphone"/>
    <s v="PROD-6076"/>
    <x v="15"/>
    <n v="2"/>
    <n v="4865000"/>
    <n v="0.15"/>
    <n v="8270500"/>
    <n v="7255894.5899999999"/>
    <n v="1014605.41"/>
    <s v="Bank Transfer"/>
    <x v="13"/>
    <n v="1"/>
    <n v="0.12267763859500636"/>
  </r>
  <r>
    <s v="ORD-00238"/>
    <d v="2024-10-24T00:00:00"/>
    <d v="2024-10-25T00:00:00"/>
    <s v="CUST-0052"/>
    <s v="Kartika Lestari"/>
    <s v="Small Business"/>
    <s v="Bandung"/>
    <s v="Jawa Barat"/>
    <x v="1"/>
    <x v="2"/>
    <s v="Smartphone"/>
    <s v="PROD-2176"/>
    <x v="17"/>
    <n v="8"/>
    <n v="3143000"/>
    <n v="0.25"/>
    <n v="18858000"/>
    <n v="19136717.260000002"/>
    <n v="-278717.26"/>
    <s v="E-Wallet"/>
    <x v="21"/>
    <n v="1"/>
    <n v="-1.4779788948987167E-2"/>
  </r>
  <r>
    <s v="ORD-00239"/>
    <d v="2024-10-22T00:00:00"/>
    <d v="2024-10-24T00:00:00"/>
    <s v="CUST-0183"/>
    <s v="Hadi Ramadhan"/>
    <s v="Corporate"/>
    <s v="Denpasar"/>
    <s v="Bali"/>
    <x v="2"/>
    <x v="0"/>
    <s v="Stationery"/>
    <s v="PROD-1004"/>
    <x v="10"/>
    <n v="3"/>
    <n v="27600"/>
    <n v="0.2"/>
    <n v="66240"/>
    <n v="41780.32"/>
    <n v="24459.68"/>
    <s v="Credit Card"/>
    <x v="21"/>
    <n v="2"/>
    <n v="0.36925845410628022"/>
  </r>
  <r>
    <s v="ORD-00240"/>
    <d v="2023-12-26T00:00:00"/>
    <d v="2023-12-30T00:00:00"/>
    <s v="CUST-0017"/>
    <s v="Fajar Anggraini"/>
    <s v="Consumer"/>
    <s v="Bogor"/>
    <s v="Jawa Barat"/>
    <x v="1"/>
    <x v="2"/>
    <s v="Accessories"/>
    <s v="PROD-3744"/>
    <x v="4"/>
    <n v="8"/>
    <n v="138600"/>
    <n v="0.05"/>
    <n v="1053360"/>
    <n v="694074.37"/>
    <n v="359285.63"/>
    <s v="Bank Transfer"/>
    <x v="4"/>
    <n v="4"/>
    <n v="0.34108531746031745"/>
  </r>
  <r>
    <s v="ORD-00241"/>
    <d v="2024-10-13T00:00:00"/>
    <d v="2024-10-20T00:00:00"/>
    <s v="CUST-0086"/>
    <s v="Wulan Siregar"/>
    <s v="Consumer"/>
    <s v="Makassar"/>
    <s v="Sulawesi Selatan"/>
    <x v="2"/>
    <x v="0"/>
    <s v="Writing"/>
    <s v="PROD-7529"/>
    <x v="0"/>
    <n v="1"/>
    <n v="72400"/>
    <n v="0"/>
    <n v="72400"/>
    <n v="42134.12"/>
    <n v="30265.88"/>
    <s v="Cash"/>
    <x v="21"/>
    <n v="7"/>
    <n v="0.41803701657458564"/>
  </r>
  <r>
    <s v="ORD-00242"/>
    <d v="2023-07-01T00:00:00"/>
    <d v="2023-07-08T00:00:00"/>
    <s v="CUST-0001"/>
    <s v="Bima Hidayat"/>
    <s v="Consumer"/>
    <s v="Denpasar"/>
    <s v="Bali"/>
    <x v="2"/>
    <x v="0"/>
    <s v="Binder"/>
    <s v="PROD-7352"/>
    <x v="16"/>
    <n v="1"/>
    <n v="51200"/>
    <n v="0"/>
    <n v="51200"/>
    <n v="26160.31"/>
    <n v="25039.69"/>
    <s v="Credit Card"/>
    <x v="13"/>
    <n v="7"/>
    <n v="0.48905644531249998"/>
  </r>
  <r>
    <s v="ORD-00243"/>
    <d v="2025-06-16T00:00:00"/>
    <d v="2025-06-22T00:00:00"/>
    <s v="CUST-0116"/>
    <s v="Fajar Kusuma"/>
    <s v="Consumer"/>
    <s v="Malang"/>
    <s v="Jawa Timur"/>
    <x v="2"/>
    <x v="1"/>
    <s v="Chair"/>
    <s v="PROD-0956"/>
    <x v="6"/>
    <n v="2"/>
    <n v="638700"/>
    <n v="0.2"/>
    <n v="1021920"/>
    <n v="860485.17"/>
    <n v="161434.82999999999"/>
    <s v="Cash"/>
    <x v="7"/>
    <n v="6"/>
    <n v="0.15797208196336307"/>
  </r>
  <r>
    <s v="ORD-00244"/>
    <d v="2023-05-31T00:00:00"/>
    <d v="2023-06-07T00:00:00"/>
    <s v="CUST-0048"/>
    <s v="Kartika Anggraini"/>
    <s v="Consumer"/>
    <s v="Jakarta"/>
    <s v="DKI Jakarta"/>
    <x v="1"/>
    <x v="0"/>
    <s v="Binder"/>
    <s v="PROD-9396"/>
    <x v="21"/>
    <n v="1"/>
    <n v="35600"/>
    <n v="0.05"/>
    <n v="33820"/>
    <n v="18603.810000000001"/>
    <n v="15216.19"/>
    <s v="Bank Transfer"/>
    <x v="22"/>
    <n v="7"/>
    <n v="0.44991691306918985"/>
  </r>
  <r>
    <s v="ORD-00245"/>
    <d v="2025-09-15T00:00:00"/>
    <d v="2025-09-21T00:00:00"/>
    <s v="CUST-0136"/>
    <s v="Yoga Lestari"/>
    <s v="Small Business"/>
    <s v="Makassar"/>
    <s v="Sulawesi Selatan"/>
    <x v="2"/>
    <x v="2"/>
    <s v="Smartphone"/>
    <s v="PROD-2176"/>
    <x v="17"/>
    <n v="1"/>
    <n v="3113100"/>
    <n v="0.3"/>
    <n v="2179170"/>
    <n v="2373542.16"/>
    <n v="-194372.16"/>
    <s v="Credit Card"/>
    <x v="32"/>
    <n v="6"/>
    <n v="-8.919550103938656E-2"/>
  </r>
  <r>
    <s v="ORD-00246"/>
    <d v="2024-09-01T00:00:00"/>
    <d v="2024-09-03T00:00:00"/>
    <s v="CUST-0246"/>
    <s v="Gita Santoso"/>
    <s v="Corporate"/>
    <s v="Makassar"/>
    <s v="Sulawesi Selatan"/>
    <x v="2"/>
    <x v="2"/>
    <s v="Accessories"/>
    <s v="PROD-1626"/>
    <x v="20"/>
    <n v="1"/>
    <n v="225300"/>
    <n v="0.05"/>
    <n v="214035"/>
    <n v="133597.24"/>
    <n v="80437.759999999995"/>
    <s v="Cash"/>
    <x v="16"/>
    <n v="2"/>
    <n v="0.37581591795734343"/>
  </r>
  <r>
    <s v="ORD-00247"/>
    <d v="2023-02-22T00:00:00"/>
    <d v="2023-02-24T00:00:00"/>
    <s v="CUST-0047"/>
    <s v="Wulan Saputra"/>
    <s v="Consumer"/>
    <s v="Bandung"/>
    <s v="Jawa Barat"/>
    <x v="1"/>
    <x v="2"/>
    <s v="Accessories"/>
    <s v="PROD-3744"/>
    <x v="4"/>
    <n v="2"/>
    <n v="123400"/>
    <n v="0.05"/>
    <n v="234460"/>
    <n v="148287.91"/>
    <n v="86172.09"/>
    <s v="Bank Transfer"/>
    <x v="31"/>
    <n v="2"/>
    <n v="0.36753429156359291"/>
  </r>
  <r>
    <s v="ORD-00248"/>
    <d v="2025-03-04T00:00:00"/>
    <d v="2025-03-06T00:00:00"/>
    <s v="CUST-0032"/>
    <s v="Eka Utami"/>
    <s v="Consumer"/>
    <s v="Surabaya"/>
    <s v="Jawa Timur"/>
    <x v="2"/>
    <x v="1"/>
    <s v="Desk"/>
    <s v="PROD-4040"/>
    <x v="7"/>
    <n v="1"/>
    <n v="3157300"/>
    <n v="0"/>
    <n v="3157300"/>
    <n v="2176766.2000000002"/>
    <n v="980533.8"/>
    <s v="Bank Transfer"/>
    <x v="20"/>
    <n v="2"/>
    <n v="0.31056085896177116"/>
  </r>
  <r>
    <s v="ORD-00249"/>
    <d v="2023-07-18T00:00:00"/>
    <d v="2023-07-19T00:00:00"/>
    <s v="CUST-0244"/>
    <s v="Toni Siregar"/>
    <s v="Consumer"/>
    <s v="Makassar"/>
    <s v="Sulawesi Selatan"/>
    <x v="2"/>
    <x v="0"/>
    <s v="Stationery"/>
    <s v="PROD-1004"/>
    <x v="10"/>
    <n v="5"/>
    <n v="29200"/>
    <n v="0.05"/>
    <n v="138700"/>
    <n v="72943.39"/>
    <n v="65756.61"/>
    <s v="Bank Transfer"/>
    <x v="13"/>
    <n v="1"/>
    <n v="0.47409235760634461"/>
  </r>
  <r>
    <s v="ORD-00250"/>
    <d v="2024-04-27T00:00:00"/>
    <d v="2024-05-01T00:00:00"/>
    <s v="CUST-0109"/>
    <s v="Rizky Putra"/>
    <s v="Consumer"/>
    <s v="Jakarta"/>
    <s v="DKI Jakarta"/>
    <x v="1"/>
    <x v="2"/>
    <s v="Accessories"/>
    <s v="PROD-1626"/>
    <x v="20"/>
    <n v="1"/>
    <n v="245300"/>
    <n v="0"/>
    <n v="245300"/>
    <n v="158655.31"/>
    <n v="86644.69"/>
    <s v="Credit Card"/>
    <x v="1"/>
    <n v="4"/>
    <n v="0.35321928251121076"/>
  </r>
  <r>
    <s v="ORD-00251"/>
    <d v="2023-09-16T00:00:00"/>
    <d v="2023-09-17T00:00:00"/>
    <s v="CUST-0035"/>
    <s v="Citra Hidayat"/>
    <s v="Consumer"/>
    <s v="Malang"/>
    <s v="Jawa Timur"/>
    <x v="2"/>
    <x v="1"/>
    <s v="Storage"/>
    <s v="PROD-2602"/>
    <x v="3"/>
    <n v="5"/>
    <n v="832400"/>
    <n v="0.25"/>
    <n v="3121500"/>
    <n v="2891539.92"/>
    <n v="229960.08"/>
    <s v="Credit Card"/>
    <x v="33"/>
    <n v="1"/>
    <n v="7.3669735703988465E-2"/>
  </r>
  <r>
    <s v="ORD-00252"/>
    <d v="2025-03-24T00:00:00"/>
    <d v="2025-03-29T00:00:00"/>
    <s v="CUST-0213"/>
    <s v="Eka Wijaya"/>
    <s v="Consumer"/>
    <s v="Medan"/>
    <s v="Sumatera Utara"/>
    <x v="1"/>
    <x v="2"/>
    <s v="Accessories"/>
    <s v="PROD-3744"/>
    <x v="4"/>
    <n v="4"/>
    <n v="129600"/>
    <n v="0.1"/>
    <n v="466560"/>
    <n v="302039.21999999997"/>
    <n v="164520.78"/>
    <s v="Bank Transfer"/>
    <x v="20"/>
    <n v="5"/>
    <n v="0.35262512860082307"/>
  </r>
  <r>
    <s v="ORD-00253"/>
    <d v="2023-07-25T00:00:00"/>
    <d v="2023-07-26T00:00:00"/>
    <s v="CUST-0243"/>
    <s v="Bima Wijaya"/>
    <s v="Small Business"/>
    <s v="Yogyakarta"/>
    <s v="DI Yogyakarta"/>
    <x v="0"/>
    <x v="1"/>
    <s v="Chair"/>
    <s v="PROD-9951"/>
    <x v="19"/>
    <n v="5"/>
    <n v="1676700"/>
    <n v="0.1"/>
    <n v="7545150"/>
    <n v="5667913.2800000003"/>
    <n v="1877236.72"/>
    <s v="E-Wallet"/>
    <x v="13"/>
    <n v="1"/>
    <n v="0.24880045062059733"/>
  </r>
  <r>
    <s v="ORD-00254"/>
    <d v="2024-07-18T00:00:00"/>
    <d v="2024-07-22T00:00:00"/>
    <s v="CUST-0191"/>
    <s v="Aldi Permata"/>
    <s v="Consumer"/>
    <s v="Jakarta"/>
    <s v="DKI Jakarta"/>
    <x v="1"/>
    <x v="2"/>
    <s v="Accessories"/>
    <s v="PROD-1626"/>
    <x v="20"/>
    <n v="3"/>
    <n v="209500"/>
    <n v="0.05"/>
    <n v="597075"/>
    <n v="371411.81"/>
    <n v="225663.19"/>
    <s v="E-Wallet"/>
    <x v="29"/>
    <n v="4"/>
    <n v="0.37794781225139223"/>
  </r>
  <r>
    <s v="ORD-00255"/>
    <d v="2024-09-12T00:00:00"/>
    <d v="2024-09-15T00:00:00"/>
    <s v="CUST-0138"/>
    <s v="Farhan Hidayat"/>
    <s v="Small Business"/>
    <s v="Bandung"/>
    <s v="Jawa Barat"/>
    <x v="1"/>
    <x v="2"/>
    <s v="Printer"/>
    <s v="PROD-5410"/>
    <x v="11"/>
    <n v="1"/>
    <n v="1615800"/>
    <n v="0.05"/>
    <n v="1535010"/>
    <n v="1230103.8"/>
    <n v="304906.2"/>
    <s v="Credit Card"/>
    <x v="16"/>
    <n v="3"/>
    <n v="0.19863466687513437"/>
  </r>
  <r>
    <s v="ORD-00256"/>
    <d v="2023-07-02T00:00:00"/>
    <d v="2023-07-04T00:00:00"/>
    <s v="CUST-0260"/>
    <s v="Maya Wijaya"/>
    <s v="Corporate"/>
    <s v="Denpasar"/>
    <s v="Bali"/>
    <x v="2"/>
    <x v="1"/>
    <s v="Desk"/>
    <s v="PROD-4040"/>
    <x v="7"/>
    <n v="5"/>
    <n v="3192100"/>
    <n v="0"/>
    <n v="15960500"/>
    <n v="11065609.390000001"/>
    <n v="4894890.6100000003"/>
    <s v="E-Wallet"/>
    <x v="13"/>
    <n v="2"/>
    <n v="0.30668779862786255"/>
  </r>
  <r>
    <s v="ORD-00257"/>
    <d v="2025-12-09T00:00:00"/>
    <d v="2025-12-14T00:00:00"/>
    <s v="CUST-0189"/>
    <s v="Anisa Kusuma"/>
    <s v="Small Business"/>
    <s v="Semarang"/>
    <s v="Jawa Tengah"/>
    <x v="0"/>
    <x v="2"/>
    <s v="Smartphone"/>
    <s v="PROD-6076"/>
    <x v="15"/>
    <n v="1"/>
    <n v="4282300"/>
    <n v="0.05"/>
    <n v="4068185"/>
    <n v="3134271.91"/>
    <n v="933913.09"/>
    <s v="Credit Card"/>
    <x v="25"/>
    <n v="5"/>
    <n v="0.22956504927873239"/>
  </r>
  <r>
    <s v="ORD-00258"/>
    <d v="2025-10-31T00:00:00"/>
    <d v="2025-11-04T00:00:00"/>
    <s v="CUST-0180"/>
    <s v="Lina Wijaya"/>
    <s v="Consumer"/>
    <s v="Jakarta"/>
    <s v="DKI Jakarta"/>
    <x v="1"/>
    <x v="0"/>
    <s v="Paper"/>
    <s v="PROD-9601"/>
    <x v="9"/>
    <n v="3"/>
    <n v="71400"/>
    <n v="0.2"/>
    <n v="171360"/>
    <n v="127502.72"/>
    <n v="43857.279999999999"/>
    <s v="Cash"/>
    <x v="27"/>
    <n v="4"/>
    <n v="0.25593650793650791"/>
  </r>
  <r>
    <s v="ORD-00259"/>
    <d v="2024-06-13T00:00:00"/>
    <d v="2024-06-19T00:00:00"/>
    <s v="CUST-0116"/>
    <s v="Yoga Putra"/>
    <s v="Consumer"/>
    <s v="Yogyakarta"/>
    <s v="DI Yogyakarta"/>
    <x v="0"/>
    <x v="0"/>
    <s v="Paper"/>
    <s v="PROD-9601"/>
    <x v="9"/>
    <n v="1"/>
    <n v="78000"/>
    <n v="0.25"/>
    <n v="58500"/>
    <n v="48018.84"/>
    <n v="10481.16"/>
    <s v="Bank Transfer"/>
    <x v="35"/>
    <n v="6"/>
    <n v="0.1791651282051282"/>
  </r>
  <r>
    <s v="ORD-00260"/>
    <d v="2024-07-05T00:00:00"/>
    <d v="2024-07-11T00:00:00"/>
    <s v="CUST-0157"/>
    <s v="Zahra Mahendra"/>
    <s v="Consumer"/>
    <s v="Jakarta"/>
    <s v="DKI Jakarta"/>
    <x v="1"/>
    <x v="1"/>
    <s v="Chair"/>
    <s v="PROD-9951"/>
    <x v="19"/>
    <n v="3"/>
    <n v="1806400"/>
    <n v="0"/>
    <n v="5419200"/>
    <n v="3515191.72"/>
    <n v="1904008.28"/>
    <s v="Credit Card"/>
    <x v="29"/>
    <n v="6"/>
    <n v="0.35134489961617954"/>
  </r>
  <r>
    <s v="ORD-00261"/>
    <d v="2024-07-17T00:00:00"/>
    <d v="2024-07-21T00:00:00"/>
    <s v="CUST-0004"/>
    <s v="Raka Ramadhan"/>
    <s v="Consumer"/>
    <s v="Denpasar"/>
    <s v="Bali"/>
    <x v="2"/>
    <x v="0"/>
    <s v="Binder"/>
    <s v="PROD-7352"/>
    <x v="16"/>
    <n v="2"/>
    <n v="56800"/>
    <n v="0.1"/>
    <n v="102240"/>
    <n v="61772.4"/>
    <n v="40467.599999999999"/>
    <s v="Cash"/>
    <x v="29"/>
    <n v="4"/>
    <n v="0.39580985915492956"/>
  </r>
  <r>
    <s v="ORD-00262"/>
    <d v="2025-02-05T00:00:00"/>
    <d v="2025-02-10T00:00:00"/>
    <s v="CUST-0134"/>
    <s v="Wulan Mahendra"/>
    <s v="Corporate"/>
    <s v="Yogyakarta"/>
    <s v="DI Yogyakarta"/>
    <x v="0"/>
    <x v="0"/>
    <s v="Binder"/>
    <s v="PROD-9396"/>
    <x v="21"/>
    <n v="1"/>
    <n v="42500"/>
    <n v="0.1"/>
    <n v="38250"/>
    <n v="22567.37"/>
    <n v="15682.63"/>
    <s v="Cash"/>
    <x v="3"/>
    <n v="5"/>
    <n v="0.41000339869281044"/>
  </r>
  <r>
    <s v="ORD-00263"/>
    <d v="2024-09-03T00:00:00"/>
    <d v="2024-09-05T00:00:00"/>
    <s v="CUST-0152"/>
    <s v="Indra Siregar"/>
    <s v="Corporate"/>
    <s v="Jakarta"/>
    <s v="DKI Jakarta"/>
    <x v="1"/>
    <x v="2"/>
    <s v="Smartphone"/>
    <s v="PROD-6076"/>
    <x v="15"/>
    <n v="3"/>
    <n v="4933900"/>
    <n v="0.15"/>
    <n v="12581445"/>
    <n v="11492062.91"/>
    <n v="1089382.0900000001"/>
    <s v="Cash"/>
    <x v="16"/>
    <n v="2"/>
    <n v="8.6586404820749932E-2"/>
  </r>
  <r>
    <s v="ORD-00264"/>
    <d v="2025-05-07T00:00:00"/>
    <d v="2025-05-11T00:00:00"/>
    <s v="CUST-0244"/>
    <s v="Rian Ramadhan"/>
    <s v="Corporate"/>
    <s v="Makassar"/>
    <s v="Sulawesi Selatan"/>
    <x v="2"/>
    <x v="1"/>
    <s v="Chair"/>
    <s v="PROD-9951"/>
    <x v="19"/>
    <n v="2"/>
    <n v="1849600"/>
    <n v="0.1"/>
    <n v="3329280"/>
    <n v="2521993.62"/>
    <n v="807286.38"/>
    <s v="Credit Card"/>
    <x v="6"/>
    <n v="4"/>
    <n v="0.24248077061707035"/>
  </r>
  <r>
    <s v="ORD-00265"/>
    <d v="2025-01-04T00:00:00"/>
    <d v="2025-01-09T00:00:00"/>
    <s v="CUST-0094"/>
    <s v="Yoga Siregar"/>
    <s v="Consumer"/>
    <s v="Medan"/>
    <s v="Sumatera Utara"/>
    <x v="1"/>
    <x v="2"/>
    <s v="Smartphone"/>
    <s v="PROD-2176"/>
    <x v="17"/>
    <n v="2"/>
    <n v="3401600"/>
    <n v="0.15"/>
    <n v="5782720"/>
    <n v="5287666.97"/>
    <n v="495053.03"/>
    <s v="Bank Transfer"/>
    <x v="17"/>
    <n v="5"/>
    <n v="8.5609026548060435E-2"/>
  </r>
  <r>
    <s v="ORD-00266"/>
    <d v="2024-11-18T00:00:00"/>
    <d v="2024-11-24T00:00:00"/>
    <s v="CUST-0238"/>
    <s v="Bayu Santoso"/>
    <s v="Corporate"/>
    <s v="Semarang"/>
    <s v="Jawa Tengah"/>
    <x v="0"/>
    <x v="2"/>
    <s v="Accessories"/>
    <s v="PROD-4943"/>
    <x v="2"/>
    <n v="2"/>
    <n v="531100"/>
    <n v="0.05"/>
    <n v="1009090"/>
    <n v="675768.45"/>
    <n v="333321.55"/>
    <s v="E-Wallet"/>
    <x v="2"/>
    <n v="6"/>
    <n v="0.33031895073779344"/>
  </r>
  <r>
    <s v="ORD-00267"/>
    <d v="2025-08-21T00:00:00"/>
    <d v="2025-08-22T00:00:00"/>
    <s v="CUST-0078"/>
    <s v="Eka Putra"/>
    <s v="Small Business"/>
    <s v="Denpasar"/>
    <s v="Bali"/>
    <x v="2"/>
    <x v="0"/>
    <s v="Paper"/>
    <s v="PROD-9601"/>
    <x v="9"/>
    <n v="5"/>
    <n v="74800"/>
    <n v="0"/>
    <n v="374000"/>
    <n v="207598.53"/>
    <n v="166401.47"/>
    <s v="Bank Transfer"/>
    <x v="12"/>
    <n v="1"/>
    <n v="0.4449237165775401"/>
  </r>
  <r>
    <s v="ORD-00268"/>
    <d v="2024-12-02T00:00:00"/>
    <d v="2024-12-06T00:00:00"/>
    <s v="CUST-0030"/>
    <s v="Aldi Kusuma"/>
    <s v="Consumer"/>
    <s v="Bogor"/>
    <s v="Jawa Barat"/>
    <x v="1"/>
    <x v="0"/>
    <s v="Stationery"/>
    <s v="PROD-5388"/>
    <x v="18"/>
    <n v="4"/>
    <n v="115800"/>
    <n v="0.1"/>
    <n v="416880"/>
    <n v="256891.96"/>
    <n v="159988.04"/>
    <s v="Credit Card"/>
    <x v="23"/>
    <n v="4"/>
    <n v="0.38377480330071007"/>
  </r>
  <r>
    <s v="ORD-00269"/>
    <d v="2024-07-14T00:00:00"/>
    <d v="2024-07-16T00:00:00"/>
    <s v="CUST-0220"/>
    <s v="Maya Hidayat"/>
    <s v="Corporate"/>
    <s v="Makassar"/>
    <s v="Sulawesi Selatan"/>
    <x v="2"/>
    <x v="0"/>
    <s v="Writing"/>
    <s v="PROD-7527"/>
    <x v="5"/>
    <n v="4"/>
    <n v="48200"/>
    <n v="0"/>
    <n v="192800"/>
    <n v="100895.88"/>
    <n v="91904.12"/>
    <s v="Cash"/>
    <x v="29"/>
    <n v="2"/>
    <n v="0.4766811203319502"/>
  </r>
  <r>
    <s v="ORD-00270"/>
    <d v="2025-09-04T00:00:00"/>
    <d v="2025-09-08T00:00:00"/>
    <s v="CUST-0128"/>
    <s v="Hadi Mahendra"/>
    <s v="Small Business"/>
    <s v="Surabaya"/>
    <s v="Jawa Timur"/>
    <x v="2"/>
    <x v="2"/>
    <s v="Smartphone"/>
    <s v="PROD-6076"/>
    <x v="15"/>
    <n v="4"/>
    <n v="4779100"/>
    <n v="0"/>
    <n v="19116400"/>
    <n v="13628121.199999999"/>
    <n v="5488278.7999999998"/>
    <s v="E-Wallet"/>
    <x v="32"/>
    <n v="4"/>
    <n v="0.28709792638781362"/>
  </r>
  <r>
    <s v="ORD-00271"/>
    <d v="2024-12-06T00:00:00"/>
    <d v="2024-12-09T00:00:00"/>
    <s v="CUST-0173"/>
    <s v="Nadia Siregar"/>
    <s v="Corporate"/>
    <s v="Medan"/>
    <s v="Sumatera Utara"/>
    <x v="1"/>
    <x v="2"/>
    <s v="Accessories"/>
    <s v="PROD-1626"/>
    <x v="20"/>
    <n v="1"/>
    <n v="209300"/>
    <n v="0.25"/>
    <n v="156975"/>
    <n v="126744.18"/>
    <n v="30230.82"/>
    <s v="Credit Card"/>
    <x v="23"/>
    <n v="3"/>
    <n v="0.19258365981844242"/>
  </r>
  <r>
    <s v="ORD-00272"/>
    <d v="2023-10-02T00:00:00"/>
    <d v="2023-10-05T00:00:00"/>
    <s v="CUST-0068"/>
    <s v="Gita Mahendra"/>
    <s v="Corporate"/>
    <s v="Surabaya"/>
    <s v="Jawa Timur"/>
    <x v="2"/>
    <x v="0"/>
    <s v="Stationery"/>
    <s v="PROD-5388"/>
    <x v="18"/>
    <n v="8"/>
    <n v="126700"/>
    <n v="0.05"/>
    <n v="962920"/>
    <n v="566020.39"/>
    <n v="396899.61"/>
    <s v="Credit Card"/>
    <x v="30"/>
    <n v="3"/>
    <n v="0.41218336933493954"/>
  </r>
  <r>
    <s v="ORD-00273"/>
    <d v="2023-02-14T00:00:00"/>
    <d v="2023-02-19T00:00:00"/>
    <s v="CUST-0025"/>
    <s v="Yoga Santoso"/>
    <s v="Corporate"/>
    <s v="Surabaya"/>
    <s v="Jawa Timur"/>
    <x v="2"/>
    <x v="1"/>
    <s v="Chair"/>
    <s v="PROD-9951"/>
    <x v="19"/>
    <n v="2"/>
    <n v="1821500"/>
    <n v="0.15"/>
    <n v="3096550"/>
    <n v="2478933.86"/>
    <n v="617616.14"/>
    <s v="Bank Transfer"/>
    <x v="31"/>
    <n v="5"/>
    <n v="0.19945298477337683"/>
  </r>
  <r>
    <s v="ORD-00274"/>
    <d v="2023-02-10T00:00:00"/>
    <d v="2023-02-11T00:00:00"/>
    <s v="CUST-0155"/>
    <s v="Nadia Ramadhan"/>
    <s v="Consumer"/>
    <s v="Denpasar"/>
    <s v="Bali"/>
    <x v="2"/>
    <x v="0"/>
    <s v="Stationery"/>
    <s v="PROD-1004"/>
    <x v="10"/>
    <n v="2"/>
    <n v="25200"/>
    <n v="0.1"/>
    <n v="45360"/>
    <n v="25484.799999999999"/>
    <n v="19875.2"/>
    <s v="E-Wallet"/>
    <x v="31"/>
    <n v="1"/>
    <n v="0.4381657848324515"/>
  </r>
  <r>
    <s v="ORD-00275"/>
    <d v="2023-07-26T00:00:00"/>
    <d v="2023-08-01T00:00:00"/>
    <s v="CUST-0059"/>
    <s v="Rizky Santoso"/>
    <s v="Corporate"/>
    <s v="Makassar"/>
    <s v="Sulawesi Selatan"/>
    <x v="2"/>
    <x v="1"/>
    <s v="Storage"/>
    <s v="PROD-7524"/>
    <x v="1"/>
    <n v="5"/>
    <n v="904600"/>
    <n v="0.15"/>
    <n v="3844550"/>
    <n v="2968932.19"/>
    <n v="875617.81"/>
    <s v="Cash"/>
    <x v="13"/>
    <n v="6"/>
    <n v="0.22775560468715456"/>
  </r>
  <r>
    <s v="ORD-00276"/>
    <d v="2025-10-16T00:00:00"/>
    <d v="2025-10-18T00:00:00"/>
    <s v="CUST-0107"/>
    <s v="Zahra Siregar"/>
    <s v="Small Business"/>
    <s v="Medan"/>
    <s v="Sumatera Utara"/>
    <x v="1"/>
    <x v="1"/>
    <s v="Desk"/>
    <s v="PROD-6903"/>
    <x v="13"/>
    <n v="3"/>
    <n v="1206200"/>
    <n v="0"/>
    <n v="3618600"/>
    <n v="2459680.0099999998"/>
    <n v="1158919.99"/>
    <s v="E-Wallet"/>
    <x v="27"/>
    <n v="2"/>
    <n v="0.32026750400707454"/>
  </r>
  <r>
    <s v="ORD-00277"/>
    <d v="2025-09-11T00:00:00"/>
    <d v="2025-09-14T00:00:00"/>
    <s v="CUST-0052"/>
    <s v="Dinda Lestari"/>
    <s v="Small Business"/>
    <s v="Bandung"/>
    <s v="Jawa Barat"/>
    <x v="1"/>
    <x v="2"/>
    <s v="Laptop"/>
    <s v="PROD-7745"/>
    <x v="14"/>
    <n v="1"/>
    <n v="7542500"/>
    <n v="0.05"/>
    <n v="7165375"/>
    <n v="6142380.8300000001"/>
    <n v="1022994.17"/>
    <s v="Cash"/>
    <x v="32"/>
    <n v="3"/>
    <n v="0.14276910419901262"/>
  </r>
  <r>
    <s v="ORD-00278"/>
    <d v="2024-04-18T00:00:00"/>
    <d v="2024-04-22T00:00:00"/>
    <s v="CUST-0161"/>
    <s v="Nadia Mahendra"/>
    <s v="Consumer"/>
    <s v="Yogyakarta"/>
    <s v="DI Yogyakarta"/>
    <x v="0"/>
    <x v="0"/>
    <s v="Binder"/>
    <s v="PROD-9396"/>
    <x v="21"/>
    <n v="5"/>
    <n v="41500"/>
    <n v="0.2"/>
    <n v="166000"/>
    <n v="103420.9"/>
    <n v="62579.1"/>
    <s v="Bank Transfer"/>
    <x v="1"/>
    <n v="4"/>
    <n v="0.37698253012048194"/>
  </r>
  <r>
    <s v="ORD-00279"/>
    <d v="2023-08-26T00:00:00"/>
    <d v="2023-08-27T00:00:00"/>
    <s v="CUST-0048"/>
    <s v="Lina Nugroho"/>
    <s v="Small Business"/>
    <s v="Jakarta"/>
    <s v="DKI Jakarta"/>
    <x v="1"/>
    <x v="0"/>
    <s v="Paper"/>
    <s v="PROD-7955"/>
    <x v="8"/>
    <n v="2"/>
    <n v="63600"/>
    <n v="0.25"/>
    <n v="95400"/>
    <n v="68902.22"/>
    <n v="26497.78"/>
    <s v="Credit Card"/>
    <x v="0"/>
    <n v="1"/>
    <n v="0.27775450733752621"/>
  </r>
  <r>
    <s v="ORD-00280"/>
    <d v="2024-12-02T00:00:00"/>
    <d v="2024-12-04T00:00:00"/>
    <s v="CUST-0086"/>
    <s v="Dewi Wijaya"/>
    <s v="Consumer"/>
    <s v="Denpasar"/>
    <s v="Bali"/>
    <x v="2"/>
    <x v="2"/>
    <s v="Accessories"/>
    <s v="PROD-1626"/>
    <x v="20"/>
    <n v="3"/>
    <n v="231200"/>
    <n v="0.05"/>
    <n v="658920"/>
    <n v="443292.01"/>
    <n v="215627.99"/>
    <s v="Cash"/>
    <x v="23"/>
    <n v="2"/>
    <n v="0.32724456686699444"/>
  </r>
  <r>
    <s v="ORD-00281"/>
    <d v="2023-05-01T00:00:00"/>
    <d v="2023-05-08T00:00:00"/>
    <s v="CUST-0067"/>
    <s v="Putri Siregar"/>
    <s v="Consumer"/>
    <s v="Makassar"/>
    <s v="Sulawesi Selatan"/>
    <x v="2"/>
    <x v="2"/>
    <s v="Accessories"/>
    <s v="PROD-1626"/>
    <x v="20"/>
    <n v="1"/>
    <n v="226200"/>
    <n v="0.05"/>
    <n v="214890"/>
    <n v="129442.42"/>
    <n v="85447.58"/>
    <s v="Cash"/>
    <x v="22"/>
    <n v="7"/>
    <n v="0.39763404532551538"/>
  </r>
  <r>
    <s v="ORD-00282"/>
    <d v="2025-09-26T00:00:00"/>
    <d v="2025-09-27T00:00:00"/>
    <s v="CUST-0115"/>
    <s v="Yoga Nugroho"/>
    <s v="Consumer"/>
    <s v="Jakarta"/>
    <s v="DKI Jakarta"/>
    <x v="1"/>
    <x v="0"/>
    <s v="Stationery"/>
    <s v="PROD-5388"/>
    <x v="18"/>
    <n v="1"/>
    <n v="125500"/>
    <n v="0.1"/>
    <n v="112950"/>
    <n v="74873.62"/>
    <n v="38076.379999999997"/>
    <s v="E-Wallet"/>
    <x v="32"/>
    <n v="1"/>
    <n v="0.33710827799911464"/>
  </r>
  <r>
    <s v="ORD-00283"/>
    <d v="2024-11-23T00:00:00"/>
    <d v="2024-11-28T00:00:00"/>
    <s v="CUST-0028"/>
    <s v="Aldi Ramadhan"/>
    <s v="Consumer"/>
    <s v="Makassar"/>
    <s v="Sulawesi Selatan"/>
    <x v="2"/>
    <x v="1"/>
    <s v="Storage"/>
    <s v="PROD-2602"/>
    <x v="3"/>
    <n v="2"/>
    <n v="910000"/>
    <n v="0.1"/>
    <n v="1638000"/>
    <n v="1146711.57"/>
    <n v="491288.43"/>
    <s v="Credit Card"/>
    <x v="2"/>
    <n v="5"/>
    <n v="0.29993188644688645"/>
  </r>
  <r>
    <s v="ORD-00284"/>
    <d v="2023-11-18T00:00:00"/>
    <d v="2023-11-23T00:00:00"/>
    <s v="CUST-0194"/>
    <s v="Maya Nugroho"/>
    <s v="Consumer"/>
    <s v="Bogor"/>
    <s v="Jawa Barat"/>
    <x v="1"/>
    <x v="0"/>
    <s v="Stationery"/>
    <s v="PROD-5388"/>
    <x v="18"/>
    <n v="2"/>
    <n v="111900"/>
    <n v="0"/>
    <n v="223800"/>
    <n v="129594.4"/>
    <n v="94205.6"/>
    <s v="Cash"/>
    <x v="8"/>
    <n v="5"/>
    <n v="0.4209365504915103"/>
  </r>
  <r>
    <s v="ORD-00285"/>
    <d v="2024-04-26T00:00:00"/>
    <d v="2024-04-27T00:00:00"/>
    <s v="CUST-0053"/>
    <s v="Maya Hidayat"/>
    <s v="Consumer"/>
    <s v="Denpasar"/>
    <s v="Bali"/>
    <x v="2"/>
    <x v="1"/>
    <s v="Storage"/>
    <s v="PROD-7524"/>
    <x v="1"/>
    <n v="2"/>
    <n v="907600"/>
    <n v="0.05"/>
    <n v="1724440"/>
    <n v="1277461.8400000001"/>
    <n v="446978.16"/>
    <s v="Cash"/>
    <x v="1"/>
    <n v="1"/>
    <n v="0.25920192062350672"/>
  </r>
  <r>
    <s v="ORD-00286"/>
    <d v="2023-03-15T00:00:00"/>
    <d v="2023-03-20T00:00:00"/>
    <s v="CUST-0175"/>
    <s v="Lina Nugroho"/>
    <s v="Small Business"/>
    <s v="Makassar"/>
    <s v="Sulawesi Selatan"/>
    <x v="2"/>
    <x v="1"/>
    <s v="Chair"/>
    <s v="PROD-9951"/>
    <x v="19"/>
    <n v="6"/>
    <n v="1791500"/>
    <n v="0.1"/>
    <n v="9674100"/>
    <n v="7160367.2400000002"/>
    <n v="2513732.7599999998"/>
    <s v="E-Wallet"/>
    <x v="24"/>
    <n v="5"/>
    <n v="0.25984151083821749"/>
  </r>
  <r>
    <s v="ORD-00287"/>
    <d v="2023-04-22T00:00:00"/>
    <d v="2023-04-29T00:00:00"/>
    <s v="CUST-0114"/>
    <s v="Aldi Permata"/>
    <s v="Corporate"/>
    <s v="Surabaya"/>
    <s v="Jawa Timur"/>
    <x v="2"/>
    <x v="2"/>
    <s v="Printer"/>
    <s v="PROD-5410"/>
    <x v="11"/>
    <n v="4"/>
    <n v="1420900"/>
    <n v="0.05"/>
    <n v="5399420"/>
    <n v="3939417.43"/>
    <n v="1460002.57"/>
    <s v="Cash"/>
    <x v="14"/>
    <n v="7"/>
    <n v="0.27039988924736363"/>
  </r>
  <r>
    <s v="ORD-00288"/>
    <d v="2024-12-28T00:00:00"/>
    <d v="2025-01-04T00:00:00"/>
    <s v="CUST-0210"/>
    <s v="Dewi Lestari"/>
    <s v="Corporate"/>
    <s v="Medan"/>
    <s v="Sumatera Utara"/>
    <x v="1"/>
    <x v="0"/>
    <s v="Binder"/>
    <s v="PROD-9396"/>
    <x v="21"/>
    <n v="1"/>
    <n v="35600"/>
    <n v="0"/>
    <n v="35600"/>
    <n v="18568.810000000001"/>
    <n v="17031.189999999999"/>
    <s v="Bank Transfer"/>
    <x v="23"/>
    <n v="7"/>
    <n v="0.47840421348314605"/>
  </r>
  <r>
    <s v="ORD-00289"/>
    <d v="2024-02-06T00:00:00"/>
    <d v="2024-02-08T00:00:00"/>
    <s v="CUST-0064"/>
    <s v="Nabila Siregar"/>
    <s v="Consumer"/>
    <s v="Semarang"/>
    <s v="Jawa Tengah"/>
    <x v="0"/>
    <x v="2"/>
    <s v="Accessories"/>
    <s v="PROD-1626"/>
    <x v="20"/>
    <n v="4"/>
    <n v="212500"/>
    <n v="0.05"/>
    <n v="807500"/>
    <n v="545935.34"/>
    <n v="261564.66"/>
    <s v="Credit Card"/>
    <x v="10"/>
    <n v="2"/>
    <n v="0.32391908359133126"/>
  </r>
  <r>
    <s v="ORD-00290"/>
    <d v="2025-07-11T00:00:00"/>
    <d v="2025-07-15T00:00:00"/>
    <s v="CUST-0091"/>
    <s v="Zahra Anggraini"/>
    <s v="Consumer"/>
    <s v="Denpasar"/>
    <s v="Bali"/>
    <x v="2"/>
    <x v="0"/>
    <s v="Writing"/>
    <s v="PROD-7527"/>
    <x v="5"/>
    <n v="3"/>
    <n v="44800"/>
    <n v="0.1"/>
    <n v="120960"/>
    <n v="74791.92"/>
    <n v="46168.08"/>
    <s v="Bank Transfer"/>
    <x v="19"/>
    <n v="4"/>
    <n v="0.38168055555555558"/>
  </r>
  <r>
    <s v="ORD-00291"/>
    <d v="2023-12-22T00:00:00"/>
    <d v="2023-12-28T00:00:00"/>
    <s v="CUST-0128"/>
    <s v="Indra Hidayat"/>
    <s v="Corporate"/>
    <s v="Malang"/>
    <s v="Jawa Timur"/>
    <x v="2"/>
    <x v="0"/>
    <s v="Paper"/>
    <s v="PROD-9601"/>
    <x v="9"/>
    <n v="2"/>
    <n v="74800"/>
    <n v="0.3"/>
    <n v="104720"/>
    <n v="92760.92"/>
    <n v="11959.08"/>
    <s v="E-Wallet"/>
    <x v="4"/>
    <n v="6"/>
    <n v="0.11420053475935829"/>
  </r>
  <r>
    <s v="ORD-00292"/>
    <d v="2024-12-03T00:00:00"/>
    <d v="2024-12-06T00:00:00"/>
    <s v="CUST-0112"/>
    <s v="Gita Putra"/>
    <s v="Consumer"/>
    <s v="Bogor"/>
    <s v="Jawa Barat"/>
    <x v="1"/>
    <x v="1"/>
    <s v="Chair"/>
    <s v="PROD-0956"/>
    <x v="6"/>
    <n v="5"/>
    <n v="663300"/>
    <n v="0"/>
    <n v="3316500"/>
    <n v="2219744.4300000002"/>
    <n v="1096755.57"/>
    <s v="E-Wallet"/>
    <x v="23"/>
    <n v="3"/>
    <n v="0.33069668928086843"/>
  </r>
  <r>
    <s v="ORD-00293"/>
    <d v="2024-08-18T00:00:00"/>
    <d v="2024-08-24T00:00:00"/>
    <s v="CUST-0181"/>
    <s v="Sari Kusuma"/>
    <s v="Small Business"/>
    <s v="Bogor"/>
    <s v="Jawa Barat"/>
    <x v="1"/>
    <x v="1"/>
    <s v="Storage"/>
    <s v="PROD-2602"/>
    <x v="3"/>
    <n v="2"/>
    <n v="915900"/>
    <n v="0.05"/>
    <n v="1740210"/>
    <n v="1148999.74"/>
    <n v="591210.26"/>
    <s v="Credit Card"/>
    <x v="28"/>
    <n v="6"/>
    <n v="0.3397350089931675"/>
  </r>
  <r>
    <s v="ORD-00294"/>
    <d v="2025-05-04T00:00:00"/>
    <d v="2025-05-10T00:00:00"/>
    <s v="CUST-0083"/>
    <s v="Joko Ramadhan"/>
    <s v="Corporate"/>
    <s v="Malang"/>
    <s v="Jawa Timur"/>
    <x v="2"/>
    <x v="0"/>
    <s v="Binder"/>
    <s v="PROD-9396"/>
    <x v="21"/>
    <n v="1"/>
    <n v="35400"/>
    <n v="0.1"/>
    <n v="31860"/>
    <n v="17274.98"/>
    <n v="14585.02"/>
    <s v="Bank Transfer"/>
    <x v="6"/>
    <n v="6"/>
    <n v="0.45778468298807284"/>
  </r>
  <r>
    <s v="ORD-00295"/>
    <d v="2024-05-28T00:00:00"/>
    <d v="2024-05-30T00:00:00"/>
    <s v="CUST-0115"/>
    <s v="Farhan Ramadhan"/>
    <s v="Corporate"/>
    <s v="Semarang"/>
    <s v="Jawa Tengah"/>
    <x v="0"/>
    <x v="0"/>
    <s v="Binder"/>
    <s v="PROD-9396"/>
    <x v="21"/>
    <n v="2"/>
    <n v="38000"/>
    <n v="0.1"/>
    <n v="68400"/>
    <n v="39437.1"/>
    <n v="28962.9"/>
    <s v="Bank Transfer"/>
    <x v="15"/>
    <n v="2"/>
    <n v="0.4234342105263158"/>
  </r>
  <r>
    <s v="ORD-00296"/>
    <d v="2025-03-07T00:00:00"/>
    <d v="2025-03-09T00:00:00"/>
    <s v="CUST-0161"/>
    <s v="Sari Pratama"/>
    <s v="Corporate"/>
    <s v="Yogyakarta"/>
    <s v="DI Yogyakarta"/>
    <x v="0"/>
    <x v="1"/>
    <s v="Storage"/>
    <s v="PROD-2602"/>
    <x v="3"/>
    <n v="6"/>
    <n v="857200"/>
    <n v="0.25"/>
    <n v="3857400"/>
    <n v="3600018.95"/>
    <n v="257381.05"/>
    <s v="Bank Transfer"/>
    <x v="20"/>
    <n v="2"/>
    <n v="6.6723972105563328E-2"/>
  </r>
  <r>
    <s v="ORD-00297"/>
    <d v="2023-01-27T00:00:00"/>
    <d v="2023-02-02T00:00:00"/>
    <s v="CUST-0100"/>
    <s v="Joko Kusuma"/>
    <s v="Small Business"/>
    <s v="Semarang"/>
    <s v="Jawa Tengah"/>
    <x v="0"/>
    <x v="2"/>
    <s v="Printer"/>
    <s v="PROD-5410"/>
    <x v="11"/>
    <n v="4"/>
    <n v="1479400"/>
    <n v="0.1"/>
    <n v="5325840"/>
    <n v="4477536.2699999996"/>
    <n v="848303.73"/>
    <s v="E-Wallet"/>
    <x v="11"/>
    <n v="6"/>
    <n v="0.15928073881303231"/>
  </r>
  <r>
    <s v="ORD-00298"/>
    <d v="2023-12-30T00:00:00"/>
    <d v="2024-01-05T00:00:00"/>
    <s v="CUST-0131"/>
    <s v="Aldi Permata"/>
    <s v="Consumer"/>
    <s v="Medan"/>
    <s v="Sumatera Utara"/>
    <x v="1"/>
    <x v="2"/>
    <s v="Smartphone"/>
    <s v="PROD-2176"/>
    <x v="17"/>
    <n v="2"/>
    <n v="3271800"/>
    <n v="0"/>
    <n v="6543600"/>
    <n v="5102030.67"/>
    <n v="1441569.33"/>
    <s v="Bank Transfer"/>
    <x v="4"/>
    <n v="6"/>
    <n v="0.22030217770034843"/>
  </r>
  <r>
    <s v="ORD-00299"/>
    <d v="2025-08-13T00:00:00"/>
    <d v="2025-08-19T00:00:00"/>
    <s v="CUST-0184"/>
    <s v="Citra Utami"/>
    <s v="Small Business"/>
    <s v="Bogor"/>
    <s v="Jawa Barat"/>
    <x v="1"/>
    <x v="0"/>
    <s v="Paper"/>
    <s v="PROD-7955"/>
    <x v="8"/>
    <n v="4"/>
    <n v="60200"/>
    <n v="0.2"/>
    <n v="192640"/>
    <n v="131003.04"/>
    <n v="61636.959999999999"/>
    <s v="Bank Transfer"/>
    <x v="12"/>
    <n v="6"/>
    <n v="0.3199593023255814"/>
  </r>
  <r>
    <s v="ORD-00300"/>
    <d v="2024-10-12T00:00:00"/>
    <d v="2024-10-17T00:00:00"/>
    <s v="CUST-0110"/>
    <s v="Yoga Permata"/>
    <s v="Consumer"/>
    <s v="Medan"/>
    <s v="Sumatera Utara"/>
    <x v="1"/>
    <x v="2"/>
    <s v="Smartphone"/>
    <s v="PROD-2176"/>
    <x v="17"/>
    <n v="2"/>
    <n v="3258100"/>
    <n v="0"/>
    <n v="6516200"/>
    <n v="4847103.8499999996"/>
    <n v="1669096.15"/>
    <s v="Credit Card"/>
    <x v="21"/>
    <n v="5"/>
    <n v="0.25614562935453178"/>
  </r>
  <r>
    <s v="ORD-00301"/>
    <d v="2024-11-09T00:00:00"/>
    <d v="2024-11-12T00:00:00"/>
    <s v="CUST-0125"/>
    <s v="Bima Ramadhan"/>
    <s v="Corporate"/>
    <s v="Medan"/>
    <s v="Sumatera Utara"/>
    <x v="1"/>
    <x v="2"/>
    <s v="Printer"/>
    <s v="PROD-5410"/>
    <x v="11"/>
    <n v="1"/>
    <n v="1415400"/>
    <n v="0"/>
    <n v="1415400"/>
    <n v="1053221.71"/>
    <n v="362178.29"/>
    <s v="Bank Transfer"/>
    <x v="2"/>
    <n v="3"/>
    <n v="0.25588405397767416"/>
  </r>
  <r>
    <s v="ORD-00302"/>
    <d v="2024-10-19T00:00:00"/>
    <d v="2024-10-23T00:00:00"/>
    <s v="CUST-0229"/>
    <s v="Putri Pratama"/>
    <s v="Consumer"/>
    <s v="Malang"/>
    <s v="Jawa Timur"/>
    <x v="2"/>
    <x v="0"/>
    <s v="Paper"/>
    <s v="PROD-9601"/>
    <x v="9"/>
    <n v="1"/>
    <n v="77000"/>
    <n v="0.15"/>
    <n v="65450"/>
    <n v="45412.98"/>
    <n v="20037.02"/>
    <s v="E-Wallet"/>
    <x v="21"/>
    <n v="4"/>
    <n v="0.30614239877769289"/>
  </r>
  <r>
    <s v="ORD-00303"/>
    <d v="2024-08-30T00:00:00"/>
    <d v="2024-09-05T00:00:00"/>
    <s v="CUST-0218"/>
    <s v="Anisa Santoso"/>
    <s v="Consumer"/>
    <s v="Bandung"/>
    <s v="Jawa Barat"/>
    <x v="1"/>
    <x v="2"/>
    <s v="Laptop"/>
    <s v="PROD-8448"/>
    <x v="12"/>
    <n v="3"/>
    <n v="5772900"/>
    <n v="0.1"/>
    <n v="15586830"/>
    <n v="13546171.279999999"/>
    <n v="2040658.72"/>
    <s v="Bank Transfer"/>
    <x v="28"/>
    <n v="6"/>
    <n v="0.1309219847781749"/>
  </r>
  <r>
    <s v="ORD-00304"/>
    <d v="2024-02-26T00:00:00"/>
    <d v="2024-03-02T00:00:00"/>
    <s v="CUST-0092"/>
    <s v="Rizky Lestari"/>
    <s v="Corporate"/>
    <s v="Bandung"/>
    <s v="Jawa Barat"/>
    <x v="1"/>
    <x v="0"/>
    <s v="Stationery"/>
    <s v="PROD-1004"/>
    <x v="10"/>
    <n v="1"/>
    <n v="28600"/>
    <n v="0"/>
    <n v="28600"/>
    <n v="13446.74"/>
    <n v="15153.26"/>
    <s v="Credit Card"/>
    <x v="10"/>
    <n v="5"/>
    <n v="0.52983426573426573"/>
  </r>
  <r>
    <s v="ORD-00305"/>
    <d v="2023-05-25T00:00:00"/>
    <d v="2023-05-30T00:00:00"/>
    <s v="CUST-0033"/>
    <s v="Nabila Mahendra"/>
    <s v="Consumer"/>
    <s v="Malang"/>
    <s v="Jawa Timur"/>
    <x v="2"/>
    <x v="0"/>
    <s v="Binder"/>
    <s v="PROD-9396"/>
    <x v="21"/>
    <n v="2"/>
    <n v="34300"/>
    <n v="0.1"/>
    <n v="61740"/>
    <n v="34969.83"/>
    <n v="26770.17"/>
    <s v="Cash"/>
    <x v="22"/>
    <n v="5"/>
    <n v="0.43359523809523809"/>
  </r>
  <r>
    <s v="ORD-00306"/>
    <d v="2023-04-04T00:00:00"/>
    <d v="2023-04-10T00:00:00"/>
    <s v="CUST-0016"/>
    <s v="Putri Wijaya"/>
    <s v="Consumer"/>
    <s v="Medan"/>
    <s v="Sumatera Utara"/>
    <x v="1"/>
    <x v="0"/>
    <s v="Binder"/>
    <s v="PROD-7352"/>
    <x v="16"/>
    <n v="3"/>
    <n v="53900"/>
    <n v="0.25"/>
    <n v="121275"/>
    <n v="85665.33"/>
    <n v="35609.67"/>
    <s v="E-Wallet"/>
    <x v="14"/>
    <n v="6"/>
    <n v="0.29362745825602965"/>
  </r>
  <r>
    <s v="ORD-00307"/>
    <d v="2025-12-28T00:00:00"/>
    <d v="2025-12-30T00:00:00"/>
    <s v="CUST-0192"/>
    <s v="Aldi Saputra"/>
    <s v="Consumer"/>
    <s v="Medan"/>
    <s v="Sumatera Utara"/>
    <x v="1"/>
    <x v="2"/>
    <s v="Accessories"/>
    <s v="PROD-1626"/>
    <x v="20"/>
    <n v="1"/>
    <n v="251900"/>
    <n v="0.25"/>
    <n v="188925"/>
    <n v="160620.72"/>
    <n v="28304.28"/>
    <s v="Credit Card"/>
    <x v="25"/>
    <n v="2"/>
    <n v="0.14981754664549424"/>
  </r>
  <r>
    <s v="ORD-00308"/>
    <d v="2023-10-17T00:00:00"/>
    <d v="2023-10-18T00:00:00"/>
    <s v="CUST-0212"/>
    <s v="Dinda Ramadhan"/>
    <s v="Corporate"/>
    <s v="Medan"/>
    <s v="Sumatera Utara"/>
    <x v="1"/>
    <x v="2"/>
    <s v="Accessories"/>
    <s v="PROD-1626"/>
    <x v="20"/>
    <n v="2"/>
    <n v="244900"/>
    <n v="0.2"/>
    <n v="391840"/>
    <n v="292322.65000000002"/>
    <n v="99517.35"/>
    <s v="Bank Transfer"/>
    <x v="30"/>
    <n v="1"/>
    <n v="0.25397445385871786"/>
  </r>
  <r>
    <s v="ORD-00309"/>
    <d v="2025-11-15T00:00:00"/>
    <d v="2025-11-17T00:00:00"/>
    <s v="CUST-0237"/>
    <s v="Wulan Saputra"/>
    <s v="Small Business"/>
    <s v="Makassar"/>
    <s v="Sulawesi Selatan"/>
    <x v="2"/>
    <x v="2"/>
    <s v="Smartphone"/>
    <s v="PROD-6076"/>
    <x v="15"/>
    <n v="1"/>
    <n v="4923800"/>
    <n v="0.1"/>
    <n v="4431420"/>
    <n v="3534317.72"/>
    <n v="897102.28"/>
    <s v="Credit Card"/>
    <x v="34"/>
    <n v="2"/>
    <n v="0.20244126713333424"/>
  </r>
  <r>
    <s v="ORD-00310"/>
    <d v="2023-05-30T00:00:00"/>
    <d v="2023-06-02T00:00:00"/>
    <s v="CUST-0146"/>
    <s v="Vina Santoso"/>
    <s v="Consumer"/>
    <s v="Bandung"/>
    <s v="Jawa Barat"/>
    <x v="1"/>
    <x v="0"/>
    <s v="Binder"/>
    <s v="PROD-9396"/>
    <x v="21"/>
    <n v="8"/>
    <n v="37200"/>
    <n v="0.1"/>
    <n v="267840"/>
    <n v="145896.79999999999"/>
    <n v="121943.2"/>
    <s v="Cash"/>
    <x v="22"/>
    <n v="3"/>
    <n v="0.45528375149342892"/>
  </r>
  <r>
    <s v="ORD-00311"/>
    <d v="2024-02-01T00:00:00"/>
    <d v="2024-02-04T00:00:00"/>
    <s v="CUST-0003"/>
    <s v="Kartika Putra"/>
    <s v="Corporate"/>
    <s v="Makassar"/>
    <s v="Sulawesi Selatan"/>
    <x v="2"/>
    <x v="1"/>
    <s v="Desk"/>
    <s v="PROD-6903"/>
    <x v="13"/>
    <n v="3"/>
    <n v="1225200"/>
    <n v="0"/>
    <n v="3675600"/>
    <n v="2476639.77"/>
    <n v="1198960.23"/>
    <s v="Credit Card"/>
    <x v="10"/>
    <n v="3"/>
    <n v="0.32619442539993471"/>
  </r>
  <r>
    <s v="ORD-00312"/>
    <d v="2024-03-29T00:00:00"/>
    <d v="2024-04-04T00:00:00"/>
    <s v="CUST-0157"/>
    <s v="Putri Saputra"/>
    <s v="Small Business"/>
    <s v="Yogyakarta"/>
    <s v="DI Yogyakarta"/>
    <x v="0"/>
    <x v="0"/>
    <s v="Stationery"/>
    <s v="PROD-1004"/>
    <x v="10"/>
    <n v="3"/>
    <n v="26300"/>
    <n v="0.05"/>
    <n v="74955"/>
    <n v="38966.29"/>
    <n v="35988.71"/>
    <s v="Credit Card"/>
    <x v="18"/>
    <n v="6"/>
    <n v="0.48013754919618434"/>
  </r>
  <r>
    <s v="ORD-00313"/>
    <d v="2023-08-11T00:00:00"/>
    <d v="2023-08-13T00:00:00"/>
    <s v="CUST-0039"/>
    <s v="Dinda Pratama"/>
    <s v="Small Business"/>
    <s v="Yogyakarta"/>
    <s v="DI Yogyakarta"/>
    <x v="0"/>
    <x v="0"/>
    <s v="Paper"/>
    <s v="PROD-9601"/>
    <x v="9"/>
    <n v="6"/>
    <n v="71700"/>
    <n v="0.15"/>
    <n v="365670"/>
    <n v="257365.89"/>
    <n v="108304.11"/>
    <s v="Credit Card"/>
    <x v="0"/>
    <n v="2"/>
    <n v="0.29617991631799162"/>
  </r>
  <r>
    <s v="ORD-00314"/>
    <d v="2025-11-04T00:00:00"/>
    <d v="2025-11-10T00:00:00"/>
    <s v="CUST-0077"/>
    <s v="Lina Hidayat"/>
    <s v="Consumer"/>
    <s v="Makassar"/>
    <s v="Sulawesi Selatan"/>
    <x v="2"/>
    <x v="2"/>
    <s v="Accessories"/>
    <s v="PROD-1626"/>
    <x v="20"/>
    <n v="3"/>
    <n v="234500"/>
    <n v="0.3"/>
    <n v="492450"/>
    <n v="426900.76"/>
    <n v="65549.240000000005"/>
    <s v="Bank Transfer"/>
    <x v="34"/>
    <n v="6"/>
    <n v="0.13310841709818258"/>
  </r>
  <r>
    <s v="ORD-00315"/>
    <d v="2024-04-02T00:00:00"/>
    <d v="2024-04-09T00:00:00"/>
    <s v="CUST-0085"/>
    <s v="Nabila Saputra"/>
    <s v="Consumer"/>
    <s v="Bogor"/>
    <s v="Jawa Barat"/>
    <x v="1"/>
    <x v="1"/>
    <s v="Desk"/>
    <s v="PROD-6903"/>
    <x v="13"/>
    <n v="2"/>
    <n v="1263100"/>
    <n v="0.1"/>
    <n v="2273580"/>
    <n v="1794509.46"/>
    <n v="479070.54"/>
    <s v="Bank Transfer"/>
    <x v="1"/>
    <n v="7"/>
    <n v="0.21071197846567966"/>
  </r>
  <r>
    <s v="ORD-00316"/>
    <d v="2023-10-15T00:00:00"/>
    <d v="2023-10-19T00:00:00"/>
    <s v="CUST-0022"/>
    <s v="Yoga Putra"/>
    <s v="Small Business"/>
    <s v="Denpasar"/>
    <s v="Bali"/>
    <x v="2"/>
    <x v="2"/>
    <s v="Smartphone"/>
    <s v="PROD-2176"/>
    <x v="17"/>
    <n v="1"/>
    <n v="3223300"/>
    <n v="0"/>
    <n v="3223300"/>
    <n v="2444873.6800000002"/>
    <n v="778426.32"/>
    <s v="Bank Transfer"/>
    <x v="30"/>
    <n v="4"/>
    <n v="0.24149980454813388"/>
  </r>
  <r>
    <s v="ORD-00317"/>
    <d v="2025-11-26T00:00:00"/>
    <d v="2025-12-03T00:00:00"/>
    <s v="CUST-0141"/>
    <s v="Anisa Mahendra"/>
    <s v="Small Business"/>
    <s v="Denpasar"/>
    <s v="Bali"/>
    <x v="2"/>
    <x v="1"/>
    <s v="Desk"/>
    <s v="PROD-4040"/>
    <x v="7"/>
    <n v="10"/>
    <n v="3059600"/>
    <n v="0.15"/>
    <n v="26006600"/>
    <n v="21797965.210000001"/>
    <n v="4208634.79"/>
    <s v="Bank Transfer"/>
    <x v="34"/>
    <n v="7"/>
    <n v="0.16182948905277891"/>
  </r>
  <r>
    <s v="ORD-00318"/>
    <d v="2024-06-23T00:00:00"/>
    <d v="2024-06-28T00:00:00"/>
    <s v="CUST-0115"/>
    <s v="Raka Hidayat"/>
    <s v="Corporate"/>
    <s v="Malang"/>
    <s v="Jawa Timur"/>
    <x v="2"/>
    <x v="1"/>
    <s v="Chair"/>
    <s v="PROD-0956"/>
    <x v="6"/>
    <n v="3"/>
    <n v="713400"/>
    <n v="0"/>
    <n v="2140200"/>
    <n v="1346040.24"/>
    <n v="794159.76"/>
    <s v="E-Wallet"/>
    <x v="35"/>
    <n v="5"/>
    <n v="0.37106801233529579"/>
  </r>
  <r>
    <s v="ORD-00319"/>
    <d v="2024-12-23T00:00:00"/>
    <d v="2024-12-30T00:00:00"/>
    <s v="CUST-0144"/>
    <s v="Gita Wijaya"/>
    <s v="Small Business"/>
    <s v="Denpasar"/>
    <s v="Bali"/>
    <x v="2"/>
    <x v="0"/>
    <s v="Stationery"/>
    <s v="PROD-5388"/>
    <x v="18"/>
    <n v="2"/>
    <n v="107000"/>
    <n v="0"/>
    <n v="214000"/>
    <n v="117103.42"/>
    <n v="96896.58"/>
    <s v="Bank Transfer"/>
    <x v="23"/>
    <n v="7"/>
    <n v="0.45278775700934581"/>
  </r>
  <r>
    <s v="ORD-00320"/>
    <d v="2024-01-18T00:00:00"/>
    <d v="2024-01-20T00:00:00"/>
    <s v="CUST-0108"/>
    <s v="Toni Wijaya"/>
    <s v="Corporate"/>
    <s v="Bandung"/>
    <s v="Jawa Barat"/>
    <x v="1"/>
    <x v="1"/>
    <s v="Storage"/>
    <s v="PROD-2602"/>
    <x v="3"/>
    <n v="5"/>
    <n v="920900"/>
    <n v="0.05"/>
    <n v="4374275"/>
    <n v="3029576.07"/>
    <n v="1344698.93"/>
    <s v="Cash"/>
    <x v="26"/>
    <n v="2"/>
    <n v="0.30741069777277374"/>
  </r>
  <r>
    <s v="ORD-00321"/>
    <d v="2025-04-21T00:00:00"/>
    <d v="2025-04-22T00:00:00"/>
    <s v="CUST-0133"/>
    <s v="Rian Wijaya"/>
    <s v="Corporate"/>
    <s v="Makassar"/>
    <s v="Sulawesi Selatan"/>
    <x v="2"/>
    <x v="2"/>
    <s v="Smartphone"/>
    <s v="PROD-2176"/>
    <x v="17"/>
    <n v="3"/>
    <n v="2907600"/>
    <n v="0.1"/>
    <n v="7850520"/>
    <n v="6346047.2699999996"/>
    <n v="1504472.73"/>
    <s v="Credit Card"/>
    <x v="5"/>
    <n v="1"/>
    <n v="0.19163988245364638"/>
  </r>
  <r>
    <s v="ORD-00322"/>
    <d v="2025-11-24T00:00:00"/>
    <d v="2025-11-28T00:00:00"/>
    <s v="CUST-0247"/>
    <s v="Fajar Putra"/>
    <s v="Small Business"/>
    <s v="Jakarta"/>
    <s v="DKI Jakarta"/>
    <x v="1"/>
    <x v="1"/>
    <s v="Storage"/>
    <s v="PROD-7524"/>
    <x v="1"/>
    <n v="8"/>
    <n v="928700"/>
    <n v="0.1"/>
    <n v="6686640"/>
    <n v="5109134.9400000004"/>
    <n v="1577505.06"/>
    <s v="E-Wallet"/>
    <x v="34"/>
    <n v="4"/>
    <n v="0.23591894583826856"/>
  </r>
  <r>
    <s v="ORD-00323"/>
    <d v="2025-04-21T00:00:00"/>
    <d v="2025-04-26T00:00:00"/>
    <s v="CUST-0036"/>
    <s v="Hadi Hidayat"/>
    <s v="Corporate"/>
    <s v="Makassar"/>
    <s v="Sulawesi Selatan"/>
    <x v="2"/>
    <x v="2"/>
    <s v="Smartphone"/>
    <s v="PROD-2176"/>
    <x v="17"/>
    <n v="1"/>
    <n v="3362700"/>
    <n v="0.25"/>
    <n v="2522025"/>
    <n v="2626058.52"/>
    <n v="-104033.52"/>
    <s v="E-Wallet"/>
    <x v="5"/>
    <n v="5"/>
    <n v="-4.1249995539298777E-2"/>
  </r>
  <r>
    <s v="ORD-00324"/>
    <d v="2025-02-28T00:00:00"/>
    <d v="2025-03-02T00:00:00"/>
    <s v="CUST-0020"/>
    <s v="Dinda Utami"/>
    <s v="Small Business"/>
    <s v="Medan"/>
    <s v="Sumatera Utara"/>
    <x v="1"/>
    <x v="2"/>
    <s v="Smartphone"/>
    <s v="PROD-6076"/>
    <x v="15"/>
    <n v="5"/>
    <n v="4856100"/>
    <n v="0"/>
    <n v="24280500"/>
    <n v="19434277.34"/>
    <n v="4846222.66"/>
    <s v="Cash"/>
    <x v="3"/>
    <n v="2"/>
    <n v="0.19959319865735881"/>
  </r>
  <r>
    <s v="ORD-00325"/>
    <d v="2025-12-24T00:00:00"/>
    <d v="2025-12-29T00:00:00"/>
    <s v="CUST-0190"/>
    <s v="Bayu Pratama"/>
    <s v="Corporate"/>
    <s v="Denpasar"/>
    <s v="Bali"/>
    <x v="2"/>
    <x v="0"/>
    <s v="Paper"/>
    <s v="PROD-9601"/>
    <x v="9"/>
    <n v="6"/>
    <n v="81400"/>
    <n v="0.1"/>
    <n v="439560"/>
    <n v="288332.87"/>
    <n v="151227.13"/>
    <s v="Bank Transfer"/>
    <x v="25"/>
    <n v="5"/>
    <n v="0.34404206479206478"/>
  </r>
  <r>
    <s v="ORD-00326"/>
    <d v="2025-12-21T00:00:00"/>
    <d v="2025-12-25T00:00:00"/>
    <s v="CUST-0043"/>
    <s v="Joko Anggraini"/>
    <s v="Consumer"/>
    <s v="Malang"/>
    <s v="Jawa Timur"/>
    <x v="2"/>
    <x v="2"/>
    <s v="Printer"/>
    <s v="PROD-5410"/>
    <x v="11"/>
    <n v="2"/>
    <n v="1386200"/>
    <n v="0.15"/>
    <n v="2356540"/>
    <n v="2132485.69"/>
    <n v="224054.31"/>
    <s v="Bank Transfer"/>
    <x v="25"/>
    <n v="4"/>
    <n v="9.5077660468313716E-2"/>
  </r>
  <r>
    <s v="ORD-00327"/>
    <d v="2025-04-16T00:00:00"/>
    <d v="2025-04-19T00:00:00"/>
    <s v="CUST-0055"/>
    <s v="Eka Hidayat"/>
    <s v="Corporate"/>
    <s v="Makassar"/>
    <s v="Sulawesi Selatan"/>
    <x v="2"/>
    <x v="2"/>
    <s v="Laptop"/>
    <s v="PROD-7745"/>
    <x v="14"/>
    <n v="2"/>
    <n v="7750600"/>
    <n v="0.15"/>
    <n v="13176020"/>
    <n v="12129020.76"/>
    <n v="1046999.24"/>
    <s v="Bank Transfer"/>
    <x v="5"/>
    <n v="3"/>
    <n v="7.9462481083058464E-2"/>
  </r>
  <r>
    <s v="ORD-00328"/>
    <d v="2024-06-03T00:00:00"/>
    <d v="2024-06-06T00:00:00"/>
    <s v="CUST-0248"/>
    <s v="Fajar Permata"/>
    <s v="Consumer"/>
    <s v="Makassar"/>
    <s v="Sulawesi Selatan"/>
    <x v="2"/>
    <x v="0"/>
    <s v="Stationery"/>
    <s v="PROD-1004"/>
    <x v="10"/>
    <n v="10"/>
    <n v="26700"/>
    <n v="0"/>
    <n v="267000"/>
    <n v="133678.65"/>
    <n v="133321.35"/>
    <s v="E-Wallet"/>
    <x v="35"/>
    <n v="3"/>
    <n v="0.49933089887640453"/>
  </r>
  <r>
    <s v="ORD-00329"/>
    <d v="2025-09-17T00:00:00"/>
    <d v="2025-09-20T00:00:00"/>
    <s v="CUST-0110"/>
    <s v="Raka Hidayat"/>
    <s v="Corporate"/>
    <s v="Malang"/>
    <s v="Jawa Timur"/>
    <x v="2"/>
    <x v="0"/>
    <s v="Binder"/>
    <s v="PROD-7352"/>
    <x v="16"/>
    <n v="4"/>
    <n v="55900"/>
    <n v="0.1"/>
    <n v="201240"/>
    <n v="115075.22"/>
    <n v="86164.78"/>
    <s v="Bank Transfer"/>
    <x v="32"/>
    <n v="3"/>
    <n v="0.42816925064599481"/>
  </r>
  <r>
    <s v="ORD-00330"/>
    <d v="2024-11-24T00:00:00"/>
    <d v="2024-12-01T00:00:00"/>
    <s v="CUST-0046"/>
    <s v="Citra Lestari"/>
    <s v="Consumer"/>
    <s v="Jakarta"/>
    <s v="DKI Jakarta"/>
    <x v="1"/>
    <x v="1"/>
    <s v="Storage"/>
    <s v="PROD-2602"/>
    <x v="3"/>
    <n v="4"/>
    <n v="940600"/>
    <n v="0.05"/>
    <n v="3574280"/>
    <n v="2514113.71"/>
    <n v="1060166.29"/>
    <s v="Bank Transfer"/>
    <x v="2"/>
    <n v="7"/>
    <n v="0.29660974797721501"/>
  </r>
  <r>
    <s v="ORD-00331"/>
    <d v="2024-03-30T00:00:00"/>
    <d v="2024-04-02T00:00:00"/>
    <s v="CUST-0090"/>
    <s v="Wulan Kusuma"/>
    <s v="Small Business"/>
    <s v="Malang"/>
    <s v="Jawa Timur"/>
    <x v="2"/>
    <x v="2"/>
    <s v="Laptop"/>
    <s v="PROD-7745"/>
    <x v="14"/>
    <n v="3"/>
    <n v="8319900"/>
    <n v="0.15"/>
    <n v="21215745"/>
    <n v="20007289.129999999"/>
    <n v="1208455.8700000001"/>
    <s v="Cash"/>
    <x v="18"/>
    <n v="3"/>
    <n v="5.6960331583925057E-2"/>
  </r>
  <r>
    <s v="ORD-00332"/>
    <d v="2025-06-18T00:00:00"/>
    <d v="2025-06-19T00:00:00"/>
    <s v="CUST-0081"/>
    <s v="Citra Lestari"/>
    <s v="Consumer"/>
    <s v="Semarang"/>
    <s v="Jawa Tengah"/>
    <x v="0"/>
    <x v="2"/>
    <s v="Accessories"/>
    <s v="PROD-3744"/>
    <x v="4"/>
    <n v="3"/>
    <n v="131000"/>
    <n v="0.05"/>
    <n v="373350"/>
    <n v="235952.66"/>
    <n v="137397.34"/>
    <s v="Credit Card"/>
    <x v="7"/>
    <n v="1"/>
    <n v="0.36801216017142091"/>
  </r>
  <r>
    <s v="ORD-00333"/>
    <d v="2025-03-29T00:00:00"/>
    <d v="2025-04-01T00:00:00"/>
    <s v="CUST-0179"/>
    <s v="Lina Nugroho"/>
    <s v="Consumer"/>
    <s v="Makassar"/>
    <s v="Sulawesi Selatan"/>
    <x v="2"/>
    <x v="0"/>
    <s v="Stationery"/>
    <s v="PROD-1004"/>
    <x v="10"/>
    <n v="4"/>
    <n v="24700"/>
    <n v="0"/>
    <n v="98800"/>
    <n v="47781.88"/>
    <n v="51018.12"/>
    <s v="Bank Transfer"/>
    <x v="20"/>
    <n v="3"/>
    <n v="0.51637773279352228"/>
  </r>
  <r>
    <s v="ORD-00334"/>
    <d v="2024-07-20T00:00:00"/>
    <d v="2024-07-22T00:00:00"/>
    <s v="CUST-0151"/>
    <s v="Kartika Santoso"/>
    <s v="Small Business"/>
    <s v="Denpasar"/>
    <s v="Bali"/>
    <x v="2"/>
    <x v="1"/>
    <s v="Chair"/>
    <s v="PROD-0956"/>
    <x v="6"/>
    <n v="1"/>
    <n v="643200"/>
    <n v="0"/>
    <n v="643200"/>
    <n v="394939.28"/>
    <n v="248260.72"/>
    <s v="Bank Transfer"/>
    <x v="29"/>
    <n v="2"/>
    <n v="0.38597748756218908"/>
  </r>
  <r>
    <s v="ORD-00335"/>
    <d v="2025-11-17T00:00:00"/>
    <d v="2025-11-20T00:00:00"/>
    <s v="CUST-0236"/>
    <s v="Dinda Anggraini"/>
    <s v="Small Business"/>
    <s v="Denpasar"/>
    <s v="Bali"/>
    <x v="2"/>
    <x v="0"/>
    <s v="Binder"/>
    <s v="PROD-9396"/>
    <x v="21"/>
    <n v="4"/>
    <n v="40500"/>
    <n v="0.25"/>
    <n v="121500"/>
    <n v="81781.67"/>
    <n v="39718.33"/>
    <s v="Cash"/>
    <x v="34"/>
    <n v="3"/>
    <n v="0.32689983539094652"/>
  </r>
  <r>
    <s v="ORD-00336"/>
    <d v="2023-02-26T00:00:00"/>
    <d v="2023-03-02T00:00:00"/>
    <s v="CUST-0005"/>
    <s v="Zahra Nugroho"/>
    <s v="Corporate"/>
    <s v="Malang"/>
    <s v="Jawa Timur"/>
    <x v="2"/>
    <x v="2"/>
    <s v="Laptop"/>
    <s v="PROD-8448"/>
    <x v="12"/>
    <n v="3"/>
    <n v="5798600"/>
    <n v="0"/>
    <n v="17395800"/>
    <n v="14949365.18"/>
    <n v="2446434.8199999998"/>
    <s v="Credit Card"/>
    <x v="31"/>
    <n v="4"/>
    <n v="0.14063364835190104"/>
  </r>
  <r>
    <s v="ORD-00337"/>
    <d v="2024-06-23T00:00:00"/>
    <d v="2024-06-25T00:00:00"/>
    <s v="CUST-0098"/>
    <s v="Putri Mahendra"/>
    <s v="Consumer"/>
    <s v="Surabaya"/>
    <s v="Jawa Timur"/>
    <x v="2"/>
    <x v="2"/>
    <s v="Accessories"/>
    <s v="PROD-1626"/>
    <x v="20"/>
    <n v="2"/>
    <n v="224900"/>
    <n v="0.2"/>
    <n v="359840"/>
    <n v="265826.36"/>
    <n v="94013.64"/>
    <s v="Credit Card"/>
    <x v="35"/>
    <n v="2"/>
    <n v="0.26126511783014672"/>
  </r>
  <r>
    <s v="ORD-00338"/>
    <d v="2024-02-13T00:00:00"/>
    <d v="2024-02-15T00:00:00"/>
    <s v="CUST-0041"/>
    <s v="Yoga Ramadhan"/>
    <s v="Consumer"/>
    <s v="Semarang"/>
    <s v="Jawa Tengah"/>
    <x v="0"/>
    <x v="0"/>
    <s v="Binder"/>
    <s v="PROD-9396"/>
    <x v="21"/>
    <n v="5"/>
    <n v="37200"/>
    <n v="0.15"/>
    <n v="158100"/>
    <n v="89799.33"/>
    <n v="68300.67"/>
    <s v="Credit Card"/>
    <x v="10"/>
    <n v="2"/>
    <n v="0.43200929791271347"/>
  </r>
  <r>
    <s v="ORD-00339"/>
    <d v="2025-10-05T00:00:00"/>
    <d v="2025-10-10T00:00:00"/>
    <s v="CUST-0252"/>
    <s v="Fajar Utami"/>
    <s v="Consumer"/>
    <s v="Denpasar"/>
    <s v="Bali"/>
    <x v="2"/>
    <x v="2"/>
    <s v="Laptop"/>
    <s v="PROD-7745"/>
    <x v="14"/>
    <n v="2"/>
    <n v="9157600"/>
    <n v="0.2"/>
    <n v="14652160"/>
    <n v="15185007.039999999"/>
    <n v="-532847.04"/>
    <s v="E-Wallet"/>
    <x v="27"/>
    <n v="5"/>
    <n v="-3.6366449724818735E-2"/>
  </r>
  <r>
    <s v="ORD-00340"/>
    <d v="2025-11-12T00:00:00"/>
    <d v="2025-11-15T00:00:00"/>
    <s v="CUST-0090"/>
    <s v="Oki Santoso"/>
    <s v="Consumer"/>
    <s v="Bogor"/>
    <s v="Jawa Barat"/>
    <x v="1"/>
    <x v="1"/>
    <s v="Storage"/>
    <s v="PROD-7524"/>
    <x v="1"/>
    <n v="2"/>
    <n v="998600"/>
    <n v="0.05"/>
    <n v="1897340"/>
    <n v="1359702.9"/>
    <n v="537637.1"/>
    <s v="Cash"/>
    <x v="34"/>
    <n v="3"/>
    <n v="0.2833636037821371"/>
  </r>
  <r>
    <s v="ORD-00341"/>
    <d v="2025-11-27T00:00:00"/>
    <d v="2025-12-01T00:00:00"/>
    <s v="CUST-0135"/>
    <s v="Hadi Lestari"/>
    <s v="Corporate"/>
    <s v="Jakarta"/>
    <s v="DKI Jakarta"/>
    <x v="1"/>
    <x v="2"/>
    <s v="Laptop"/>
    <s v="PROD-7745"/>
    <x v="14"/>
    <n v="3"/>
    <n v="7967100"/>
    <n v="0.1"/>
    <n v="21511170"/>
    <n v="18340271.960000001"/>
    <n v="3170898.04"/>
    <s v="Cash"/>
    <x v="34"/>
    <n v="4"/>
    <n v="0.14740704666459334"/>
  </r>
  <r>
    <s v="ORD-00342"/>
    <d v="2025-08-23T00:00:00"/>
    <d v="2025-08-28T00:00:00"/>
    <s v="CUST-0093"/>
    <s v="Toni Wijaya"/>
    <s v="Consumer"/>
    <s v="Denpasar"/>
    <s v="Bali"/>
    <x v="2"/>
    <x v="1"/>
    <s v="Chair"/>
    <s v="PROD-0956"/>
    <x v="6"/>
    <n v="3"/>
    <n v="638200"/>
    <n v="0.2"/>
    <n v="1531680"/>
    <n v="1208620.31"/>
    <n v="323059.69"/>
    <s v="Cash"/>
    <x v="12"/>
    <n v="5"/>
    <n v="0.21091852736864097"/>
  </r>
  <r>
    <s v="ORD-00343"/>
    <d v="2024-04-13T00:00:00"/>
    <d v="2024-04-20T00:00:00"/>
    <s v="CUST-0005"/>
    <s v="Fajar Hidayat"/>
    <s v="Corporate"/>
    <s v="Semarang"/>
    <s v="Jawa Tengah"/>
    <x v="0"/>
    <x v="2"/>
    <s v="Accessories"/>
    <s v="PROD-3744"/>
    <x v="4"/>
    <n v="1"/>
    <n v="134500"/>
    <n v="0.15"/>
    <n v="114325"/>
    <n v="78906.2"/>
    <n v="35418.800000000003"/>
    <s v="Cash"/>
    <x v="1"/>
    <n v="7"/>
    <n v="0.30980800349879734"/>
  </r>
  <r>
    <s v="ORD-00344"/>
    <d v="2025-10-20T00:00:00"/>
    <d v="2025-10-22T00:00:00"/>
    <s v="CUST-0244"/>
    <s v="Anisa Ramadhan"/>
    <s v="Consumer"/>
    <s v="Denpasar"/>
    <s v="Bali"/>
    <x v="2"/>
    <x v="0"/>
    <s v="Binder"/>
    <s v="PROD-7352"/>
    <x v="16"/>
    <n v="2"/>
    <n v="58900"/>
    <n v="0"/>
    <n v="117800"/>
    <n v="65917.59"/>
    <n v="51882.41"/>
    <s v="Bank Transfer"/>
    <x v="27"/>
    <n v="2"/>
    <n v="0.44042792869269953"/>
  </r>
  <r>
    <s v="ORD-00345"/>
    <d v="2023-07-17T00:00:00"/>
    <d v="2023-07-21T00:00:00"/>
    <s v="CUST-0102"/>
    <s v="Toni Anggraini"/>
    <s v="Consumer"/>
    <s v="Surabaya"/>
    <s v="Jawa Timur"/>
    <x v="2"/>
    <x v="0"/>
    <s v="Binder"/>
    <s v="PROD-9396"/>
    <x v="21"/>
    <n v="2"/>
    <n v="37600"/>
    <n v="0.05"/>
    <n v="71440"/>
    <n v="39041.82"/>
    <n v="32398.18"/>
    <s v="E-Wallet"/>
    <x v="13"/>
    <n v="4"/>
    <n v="0.45350195968645018"/>
  </r>
  <r>
    <s v="ORD-00346"/>
    <d v="2023-12-24T00:00:00"/>
    <d v="2023-12-31T00:00:00"/>
    <s v="CUST-0075"/>
    <s v="Bayu Wijaya"/>
    <s v="Consumer"/>
    <s v="Medan"/>
    <s v="Sumatera Utara"/>
    <x v="1"/>
    <x v="2"/>
    <s v="Accessories"/>
    <s v="PROD-4943"/>
    <x v="2"/>
    <n v="5"/>
    <n v="477200"/>
    <n v="0"/>
    <n v="2386000"/>
    <n v="1526839.58"/>
    <n v="859160.42"/>
    <s v="Cash"/>
    <x v="4"/>
    <n v="7"/>
    <n v="0.36008399832355409"/>
  </r>
  <r>
    <s v="ORD-00347"/>
    <d v="2024-11-21T00:00:00"/>
    <d v="2024-11-25T00:00:00"/>
    <s v="CUST-0203"/>
    <s v="Indra Siregar"/>
    <s v="Consumer"/>
    <s v="Bandung"/>
    <s v="Jawa Barat"/>
    <x v="1"/>
    <x v="0"/>
    <s v="Stationery"/>
    <s v="PROD-1004"/>
    <x v="10"/>
    <n v="1"/>
    <n v="26200"/>
    <n v="0"/>
    <n v="26200"/>
    <n v="12642.5"/>
    <n v="13557.5"/>
    <s v="E-Wallet"/>
    <x v="2"/>
    <n v="4"/>
    <n v="0.51746183206106866"/>
  </r>
  <r>
    <s v="ORD-00348"/>
    <d v="2025-06-30T00:00:00"/>
    <d v="2025-07-07T00:00:00"/>
    <s v="CUST-0129"/>
    <s v="Farhan Mahendra"/>
    <s v="Corporate"/>
    <s v="Makassar"/>
    <s v="Sulawesi Selatan"/>
    <x v="2"/>
    <x v="0"/>
    <s v="Binder"/>
    <s v="PROD-7352"/>
    <x v="16"/>
    <n v="2"/>
    <n v="52700"/>
    <n v="0"/>
    <n v="105400"/>
    <n v="58354.03"/>
    <n v="47045.97"/>
    <s v="Cash"/>
    <x v="7"/>
    <n v="7"/>
    <n v="0.44635645161290322"/>
  </r>
  <r>
    <s v="ORD-00349"/>
    <d v="2023-06-13T00:00:00"/>
    <d v="2023-06-15T00:00:00"/>
    <s v="CUST-0043"/>
    <s v="Dewi Lestari"/>
    <s v="Consumer"/>
    <s v="Bandung"/>
    <s v="Jawa Barat"/>
    <x v="1"/>
    <x v="2"/>
    <s v="Laptop"/>
    <s v="PROD-8448"/>
    <x v="12"/>
    <n v="2"/>
    <n v="5525400"/>
    <n v="0.05"/>
    <n v="10498260"/>
    <n v="9277805.4800000004"/>
    <n v="1220454.52"/>
    <s v="Cash"/>
    <x v="9"/>
    <n v="2"/>
    <n v="0.1162530285971199"/>
  </r>
  <r>
    <s v="ORD-00350"/>
    <d v="2023-11-15T00:00:00"/>
    <d v="2023-11-16T00:00:00"/>
    <s v="CUST-0018"/>
    <s v="Yoga Permata"/>
    <s v="Consumer"/>
    <s v="Yogyakarta"/>
    <s v="DI Yogyakarta"/>
    <x v="0"/>
    <x v="0"/>
    <s v="Stationery"/>
    <s v="PROD-1004"/>
    <x v="10"/>
    <n v="2"/>
    <n v="25100"/>
    <n v="0.1"/>
    <n v="45180"/>
    <n v="23913.66"/>
    <n v="21266.34"/>
    <s v="E-Wallet"/>
    <x v="8"/>
    <n v="1"/>
    <n v="0.47070252324037187"/>
  </r>
  <r>
    <s v="ORD-00351"/>
    <d v="2024-10-28T00:00:00"/>
    <d v="2024-11-04T00:00:00"/>
    <s v="CUST-0223"/>
    <s v="Raka Ramadhan"/>
    <s v="Corporate"/>
    <s v="Yogyakarta"/>
    <s v="DI Yogyakarta"/>
    <x v="0"/>
    <x v="1"/>
    <s v="Storage"/>
    <s v="PROD-7524"/>
    <x v="1"/>
    <n v="8"/>
    <n v="1032400"/>
    <n v="0"/>
    <n v="8259200"/>
    <n v="5771747.3600000003"/>
    <n v="2487452.64"/>
    <s v="Credit Card"/>
    <x v="21"/>
    <n v="7"/>
    <n v="0.30117355676094537"/>
  </r>
  <r>
    <s v="ORD-00352"/>
    <d v="2025-12-29T00:00:00"/>
    <d v="2026-01-01T00:00:00"/>
    <s v="CUST-0001"/>
    <s v="Raka Nugroho"/>
    <s v="Consumer"/>
    <s v="Medan"/>
    <s v="Sumatera Utara"/>
    <x v="1"/>
    <x v="0"/>
    <s v="Stationery"/>
    <s v="PROD-5388"/>
    <x v="18"/>
    <n v="2"/>
    <n v="112800"/>
    <n v="0"/>
    <n v="225600"/>
    <n v="127237.22"/>
    <n v="98362.78"/>
    <s v="Bank Transfer"/>
    <x v="25"/>
    <n v="3"/>
    <n v="0.4360052304964539"/>
  </r>
  <r>
    <s v="ORD-00353"/>
    <d v="2023-10-07T00:00:00"/>
    <d v="2023-10-10T00:00:00"/>
    <s v="CUST-0004"/>
    <s v="Sari Permata"/>
    <s v="Small Business"/>
    <s v="Denpasar"/>
    <s v="Bali"/>
    <x v="2"/>
    <x v="2"/>
    <s v="Laptop"/>
    <s v="PROD-7745"/>
    <x v="14"/>
    <n v="1"/>
    <n v="8761600"/>
    <n v="0.15"/>
    <n v="7447360"/>
    <n v="7022739.4000000004"/>
    <n v="424620.6"/>
    <s v="Cash"/>
    <x v="30"/>
    <n v="3"/>
    <n v="5.7016258110256519E-2"/>
  </r>
  <r>
    <s v="ORD-00354"/>
    <d v="2024-01-22T00:00:00"/>
    <d v="2024-01-26T00:00:00"/>
    <s v="CUST-0140"/>
    <s v="Joko Ramadhan"/>
    <s v="Consumer"/>
    <s v="Malang"/>
    <s v="Jawa Timur"/>
    <x v="2"/>
    <x v="0"/>
    <s v="Stationery"/>
    <s v="PROD-1004"/>
    <x v="10"/>
    <n v="5"/>
    <n v="25600"/>
    <n v="0"/>
    <n v="128000"/>
    <n v="64682.63"/>
    <n v="63317.37"/>
    <s v="Cash"/>
    <x v="26"/>
    <n v="4"/>
    <n v="0.49466695312500003"/>
  </r>
  <r>
    <s v="ORD-00355"/>
    <d v="2025-12-25T00:00:00"/>
    <d v="2026-01-01T00:00:00"/>
    <s v="CUST-0252"/>
    <s v="Gita Permata"/>
    <s v="Consumer"/>
    <s v="Bandung"/>
    <s v="Jawa Barat"/>
    <x v="1"/>
    <x v="2"/>
    <s v="Smartphone"/>
    <s v="PROD-6076"/>
    <x v="15"/>
    <n v="1"/>
    <n v="4700800"/>
    <n v="0.05"/>
    <n v="4465760"/>
    <n v="3670366.2"/>
    <n v="795393.8"/>
    <s v="E-Wallet"/>
    <x v="25"/>
    <n v="7"/>
    <n v="0.17810939235426893"/>
  </r>
  <r>
    <s v="ORD-00356"/>
    <d v="2023-02-09T00:00:00"/>
    <d v="2023-02-11T00:00:00"/>
    <s v="CUST-0078"/>
    <s v="Aldi Kusuma"/>
    <s v="Small Business"/>
    <s v="Bogor"/>
    <s v="Jawa Barat"/>
    <x v="1"/>
    <x v="2"/>
    <s v="Laptop"/>
    <s v="PROD-7745"/>
    <x v="14"/>
    <n v="1"/>
    <n v="8670200"/>
    <n v="0.15"/>
    <n v="7369670"/>
    <n v="6629295.4800000004"/>
    <n v="740374.52"/>
    <s v="E-Wallet"/>
    <x v="31"/>
    <n v="2"/>
    <n v="0.10046237077101146"/>
  </r>
  <r>
    <s v="ORD-00357"/>
    <d v="2024-03-20T00:00:00"/>
    <d v="2024-03-23T00:00:00"/>
    <s v="CUST-0201"/>
    <s v="Citra Saputra"/>
    <s v="Consumer"/>
    <s v="Surabaya"/>
    <s v="Jawa Timur"/>
    <x v="2"/>
    <x v="1"/>
    <s v="Desk"/>
    <s v="PROD-4040"/>
    <x v="7"/>
    <n v="2"/>
    <n v="3419600"/>
    <n v="0.25"/>
    <n v="5129400"/>
    <n v="4582944.43"/>
    <n v="546455.56999999995"/>
    <s v="Bank Transfer"/>
    <x v="18"/>
    <n v="3"/>
    <n v="0.10653401372480212"/>
  </r>
  <r>
    <s v="ORD-00358"/>
    <d v="2025-08-20T00:00:00"/>
    <d v="2025-08-22T00:00:00"/>
    <s v="CUST-0127"/>
    <s v="Farhan Pratama"/>
    <s v="Corporate"/>
    <s v="Malang"/>
    <s v="Jawa Timur"/>
    <x v="2"/>
    <x v="2"/>
    <s v="Accessories"/>
    <s v="PROD-3744"/>
    <x v="4"/>
    <n v="10"/>
    <n v="132200"/>
    <n v="0.05"/>
    <n v="1255900"/>
    <n v="825606.06"/>
    <n v="430293.94"/>
    <s v="Bank Transfer"/>
    <x v="12"/>
    <n v="2"/>
    <n v="0.34261799506330121"/>
  </r>
  <r>
    <s v="ORD-00359"/>
    <d v="2024-02-12T00:00:00"/>
    <d v="2024-02-16T00:00:00"/>
    <s v="CUST-0022"/>
    <s v="Farhan Siregar"/>
    <s v="Corporate"/>
    <s v="Medan"/>
    <s v="Sumatera Utara"/>
    <x v="1"/>
    <x v="0"/>
    <s v="Paper"/>
    <s v="PROD-9601"/>
    <x v="9"/>
    <n v="2"/>
    <n v="79800"/>
    <n v="0"/>
    <n v="159600"/>
    <n v="91827.29"/>
    <n v="67772.710000000006"/>
    <s v="Credit Card"/>
    <x v="10"/>
    <n v="4"/>
    <n v="0.42464104010025067"/>
  </r>
  <r>
    <s v="ORD-00360"/>
    <d v="2025-12-02T00:00:00"/>
    <d v="2025-12-03T00:00:00"/>
    <s v="CUST-0167"/>
    <s v="Aldi Wijaya"/>
    <s v="Consumer"/>
    <s v="Semarang"/>
    <s v="Jawa Tengah"/>
    <x v="0"/>
    <x v="2"/>
    <s v="Accessories"/>
    <s v="PROD-3744"/>
    <x v="4"/>
    <n v="5"/>
    <n v="118500"/>
    <n v="0"/>
    <n v="592500"/>
    <n v="354742.39"/>
    <n v="237757.61"/>
    <s v="Bank Transfer"/>
    <x v="25"/>
    <n v="1"/>
    <n v="0.40127866666666662"/>
  </r>
  <r>
    <s v="ORD-00361"/>
    <d v="2024-07-19T00:00:00"/>
    <d v="2024-07-24T00:00:00"/>
    <s v="CUST-0256"/>
    <s v="Citra Ramadhan"/>
    <s v="Small Business"/>
    <s v="Jakarta"/>
    <s v="DKI Jakarta"/>
    <x v="1"/>
    <x v="2"/>
    <s v="Smartphone"/>
    <s v="PROD-6076"/>
    <x v="15"/>
    <n v="3"/>
    <n v="4390300"/>
    <n v="0.15"/>
    <n v="11195265"/>
    <n v="9703666.1099999994"/>
    <n v="1491598.89"/>
    <s v="Cash"/>
    <x v="29"/>
    <n v="5"/>
    <n v="0.13323479971219976"/>
  </r>
  <r>
    <s v="ORD-00362"/>
    <d v="2024-11-24T00:00:00"/>
    <d v="2024-12-01T00:00:00"/>
    <s v="CUST-0178"/>
    <s v="Rizky Siregar"/>
    <s v="Corporate"/>
    <s v="Surabaya"/>
    <s v="Jawa Timur"/>
    <x v="2"/>
    <x v="0"/>
    <s v="Paper"/>
    <s v="PROD-7955"/>
    <x v="8"/>
    <n v="1"/>
    <n v="55200"/>
    <n v="0.3"/>
    <n v="38640"/>
    <n v="31954.3"/>
    <n v="6685.7"/>
    <s v="Bank Transfer"/>
    <x v="2"/>
    <n v="7"/>
    <n v="0.17302536231884058"/>
  </r>
  <r>
    <s v="ORD-00363"/>
    <d v="2025-06-17T00:00:00"/>
    <d v="2025-06-23T00:00:00"/>
    <s v="CUST-0251"/>
    <s v="Gita Anggraini"/>
    <s v="Corporate"/>
    <s v="Surabaya"/>
    <s v="Jawa Timur"/>
    <x v="2"/>
    <x v="2"/>
    <s v="Accessories"/>
    <s v="PROD-1626"/>
    <x v="20"/>
    <n v="6"/>
    <n v="231600"/>
    <n v="0.05"/>
    <n v="1320120"/>
    <n v="824015.76"/>
    <n v="496104.24"/>
    <s v="E-Wallet"/>
    <x v="7"/>
    <n v="6"/>
    <n v="0.37580238160167256"/>
  </r>
  <r>
    <s v="ORD-00364"/>
    <d v="2024-01-18T00:00:00"/>
    <d v="2024-01-23T00:00:00"/>
    <s v="CUST-0188"/>
    <s v="Oki Pratama"/>
    <s v="Consumer"/>
    <s v="Denpasar"/>
    <s v="Bali"/>
    <x v="2"/>
    <x v="1"/>
    <s v="Storage"/>
    <s v="PROD-2602"/>
    <x v="3"/>
    <n v="1"/>
    <n v="812700"/>
    <n v="0"/>
    <n v="812700"/>
    <n v="519927.27"/>
    <n v="292772.73"/>
    <s v="Credit Card"/>
    <x v="26"/>
    <n v="5"/>
    <n v="0.36024699150978218"/>
  </r>
  <r>
    <s v="ORD-00365"/>
    <d v="2025-11-02T00:00:00"/>
    <d v="2025-11-06T00:00:00"/>
    <s v="CUST-0098"/>
    <s v="Raka Ramadhan"/>
    <s v="Small Business"/>
    <s v="Makassar"/>
    <s v="Sulawesi Selatan"/>
    <x v="2"/>
    <x v="0"/>
    <s v="Paper"/>
    <s v="PROD-7955"/>
    <x v="8"/>
    <n v="2"/>
    <n v="53000"/>
    <n v="0.25"/>
    <n v="79500"/>
    <n v="61592.58"/>
    <n v="17907.419999999998"/>
    <s v="Credit Card"/>
    <x v="34"/>
    <n v="4"/>
    <n v="0.22525056603773583"/>
  </r>
  <r>
    <s v="ORD-00366"/>
    <d v="2025-10-15T00:00:00"/>
    <d v="2025-10-22T00:00:00"/>
    <s v="CUST-0067"/>
    <s v="Fajar Nugroho"/>
    <s v="Consumer"/>
    <s v="Yogyakarta"/>
    <s v="DI Yogyakarta"/>
    <x v="0"/>
    <x v="1"/>
    <s v="Storage"/>
    <s v="PROD-7524"/>
    <x v="1"/>
    <n v="1"/>
    <n v="994800"/>
    <n v="0"/>
    <n v="994800"/>
    <n v="716087.97"/>
    <n v="278712.03000000003"/>
    <s v="E-Wallet"/>
    <x v="27"/>
    <n v="7"/>
    <n v="0.28016890832328106"/>
  </r>
  <r>
    <s v="ORD-00367"/>
    <d v="2023-03-06T00:00:00"/>
    <d v="2023-03-08T00:00:00"/>
    <s v="CUST-0188"/>
    <s v="Hadi Anggraini"/>
    <s v="Consumer"/>
    <s v="Bandung"/>
    <s v="Jawa Barat"/>
    <x v="1"/>
    <x v="2"/>
    <s v="Smartphone"/>
    <s v="PROD-6076"/>
    <x v="15"/>
    <n v="3"/>
    <n v="4773700"/>
    <n v="0.15"/>
    <n v="12172935"/>
    <n v="10561152.58"/>
    <n v="1611782.42"/>
    <s v="Cash"/>
    <x v="24"/>
    <n v="2"/>
    <n v="0.13240705055929403"/>
  </r>
  <r>
    <s v="ORD-00368"/>
    <d v="2023-05-26T00:00:00"/>
    <d v="2023-05-27T00:00:00"/>
    <s v="CUST-0213"/>
    <s v="Anisa Permata"/>
    <s v="Small Business"/>
    <s v="Denpasar"/>
    <s v="Bali"/>
    <x v="2"/>
    <x v="0"/>
    <s v="Writing"/>
    <s v="PROD-7529"/>
    <x v="0"/>
    <n v="2"/>
    <n v="70800"/>
    <n v="0.05"/>
    <n v="134520"/>
    <n v="80031.199999999997"/>
    <n v="54488.800000000003"/>
    <s v="Bank Transfer"/>
    <x v="22"/>
    <n v="1"/>
    <n v="0.4050609574784419"/>
  </r>
  <r>
    <s v="ORD-00369"/>
    <d v="2023-04-30T00:00:00"/>
    <d v="2023-05-07T00:00:00"/>
    <s v="CUST-0119"/>
    <s v="Sari Hidayat"/>
    <s v="Corporate"/>
    <s v="Jakarta"/>
    <s v="DKI Jakarta"/>
    <x v="1"/>
    <x v="1"/>
    <s v="Storage"/>
    <s v="PROD-7524"/>
    <x v="1"/>
    <n v="1"/>
    <n v="928500"/>
    <n v="0.05"/>
    <n v="882075"/>
    <n v="608119.5"/>
    <n v="273955.5"/>
    <s v="E-Wallet"/>
    <x v="14"/>
    <n v="7"/>
    <n v="0.31058073293087324"/>
  </r>
  <r>
    <s v="ORD-00370"/>
    <d v="2024-01-24T00:00:00"/>
    <d v="2024-01-26T00:00:00"/>
    <s v="CUST-0184"/>
    <s v="Yoga Kusuma"/>
    <s v="Corporate"/>
    <s v="Makassar"/>
    <s v="Sulawesi Selatan"/>
    <x v="2"/>
    <x v="1"/>
    <s v="Chair"/>
    <s v="PROD-0956"/>
    <x v="6"/>
    <n v="3"/>
    <n v="664800"/>
    <n v="0.15"/>
    <n v="1695240"/>
    <n v="1339747.73"/>
    <n v="355492.27"/>
    <s v="Credit Card"/>
    <x v="26"/>
    <n v="2"/>
    <n v="0.20970026073004414"/>
  </r>
  <r>
    <s v="ORD-00371"/>
    <d v="2025-05-24T00:00:00"/>
    <d v="2025-05-25T00:00:00"/>
    <s v="CUST-0162"/>
    <s v="Sari Permata"/>
    <s v="Consumer"/>
    <s v="Medan"/>
    <s v="Sumatera Utara"/>
    <x v="1"/>
    <x v="2"/>
    <s v="Smartphone"/>
    <s v="PROD-2176"/>
    <x v="17"/>
    <n v="3"/>
    <n v="3255900"/>
    <n v="0.1"/>
    <n v="8790930"/>
    <n v="7953171.6900000004"/>
    <n v="837758.31"/>
    <s v="E-Wallet"/>
    <x v="6"/>
    <n v="1"/>
    <n v="9.5298029901273257E-2"/>
  </r>
  <r>
    <s v="ORD-00372"/>
    <d v="2025-01-31T00:00:00"/>
    <d v="2025-02-04T00:00:00"/>
    <s v="CUST-0232"/>
    <s v="Oki Hidayat"/>
    <s v="Corporate"/>
    <s v="Surabaya"/>
    <s v="Jawa Timur"/>
    <x v="2"/>
    <x v="0"/>
    <s v="Stationery"/>
    <s v="PROD-1004"/>
    <x v="10"/>
    <n v="2"/>
    <n v="27600"/>
    <n v="0.15"/>
    <n v="46920"/>
    <n v="26961.48"/>
    <n v="19958.52"/>
    <s v="Credit Card"/>
    <x v="17"/>
    <n v="4"/>
    <n v="0.42537340153452685"/>
  </r>
  <r>
    <s v="ORD-00373"/>
    <d v="2023-01-01T00:00:00"/>
    <d v="2023-01-07T00:00:00"/>
    <s v="CUST-0162"/>
    <s v="Aldi Utami"/>
    <s v="Consumer"/>
    <s v="Makassar"/>
    <s v="Sulawesi Selatan"/>
    <x v="2"/>
    <x v="2"/>
    <s v="Accessories"/>
    <s v="PROD-3744"/>
    <x v="4"/>
    <n v="10"/>
    <n v="120800"/>
    <n v="0"/>
    <n v="1208000"/>
    <n v="685818.15"/>
    <n v="522181.85"/>
    <s v="Credit Card"/>
    <x v="11"/>
    <n v="6"/>
    <n v="0.43226974337748342"/>
  </r>
  <r>
    <s v="ORD-00374"/>
    <d v="2024-07-19T00:00:00"/>
    <d v="2024-07-24T00:00:00"/>
    <s v="CUST-0128"/>
    <s v="Hadi Lestari"/>
    <s v="Consumer"/>
    <s v="Makassar"/>
    <s v="Sulawesi Selatan"/>
    <x v="2"/>
    <x v="1"/>
    <s v="Storage"/>
    <s v="PROD-7524"/>
    <x v="1"/>
    <n v="2"/>
    <n v="915700"/>
    <n v="0"/>
    <n v="1831400"/>
    <n v="1327110.97"/>
    <n v="504289.03"/>
    <s v="Bank Transfer"/>
    <x v="29"/>
    <n v="5"/>
    <n v="0.27535712023588516"/>
  </r>
  <r>
    <s v="ORD-00375"/>
    <d v="2024-09-07T00:00:00"/>
    <d v="2024-09-08T00:00:00"/>
    <s v="CUST-0049"/>
    <s v="Vina Ramadhan"/>
    <s v="Corporate"/>
    <s v="Semarang"/>
    <s v="Jawa Tengah"/>
    <x v="0"/>
    <x v="1"/>
    <s v="Storage"/>
    <s v="PROD-7524"/>
    <x v="1"/>
    <n v="4"/>
    <n v="919300"/>
    <n v="0.2"/>
    <n v="2941760"/>
    <n v="2599634.0699999998"/>
    <n v="342125.93"/>
    <s v="E-Wallet"/>
    <x v="16"/>
    <n v="1"/>
    <n v="0.1162997423311215"/>
  </r>
  <r>
    <s v="ORD-00376"/>
    <d v="2024-09-07T00:00:00"/>
    <d v="2024-09-08T00:00:00"/>
    <s v="CUST-0117"/>
    <s v="Farhan Ramadhan"/>
    <s v="Corporate"/>
    <s v="Bandung"/>
    <s v="Jawa Barat"/>
    <x v="1"/>
    <x v="0"/>
    <s v="Stationery"/>
    <s v="PROD-1004"/>
    <x v="10"/>
    <n v="2"/>
    <n v="29200"/>
    <n v="0.05"/>
    <n v="55480"/>
    <n v="30413.599999999999"/>
    <n v="25066.400000000001"/>
    <s v="E-Wallet"/>
    <x v="16"/>
    <n v="1"/>
    <n v="0.45180966113914928"/>
  </r>
  <r>
    <s v="ORD-00377"/>
    <d v="2023-01-24T00:00:00"/>
    <d v="2023-01-30T00:00:00"/>
    <s v="CUST-0079"/>
    <s v="Bima Ramadhan"/>
    <s v="Consumer"/>
    <s v="Jakarta"/>
    <s v="DKI Jakarta"/>
    <x v="1"/>
    <x v="0"/>
    <s v="Stationery"/>
    <s v="PROD-1004"/>
    <x v="10"/>
    <n v="2"/>
    <n v="27700"/>
    <n v="0.05"/>
    <n v="52630"/>
    <n v="28251.11"/>
    <n v="24378.89"/>
    <s v="Bank Transfer"/>
    <x v="11"/>
    <n v="6"/>
    <n v="0.46321280638419149"/>
  </r>
  <r>
    <s v="ORD-00378"/>
    <d v="2025-03-15T00:00:00"/>
    <d v="2025-03-19T00:00:00"/>
    <s v="CUST-0205"/>
    <s v="Indra Santoso"/>
    <s v="Consumer"/>
    <s v="Semarang"/>
    <s v="Jawa Tengah"/>
    <x v="0"/>
    <x v="0"/>
    <s v="Paper"/>
    <s v="PROD-9601"/>
    <x v="9"/>
    <n v="1"/>
    <n v="74000"/>
    <n v="0.05"/>
    <n v="70300"/>
    <n v="44932.56"/>
    <n v="25367.439999999999"/>
    <s v="Cash"/>
    <x v="20"/>
    <n v="4"/>
    <n v="0.3608455192034139"/>
  </r>
  <r>
    <s v="ORD-00379"/>
    <d v="2025-03-27T00:00:00"/>
    <d v="2025-04-01T00:00:00"/>
    <s v="CUST-0127"/>
    <s v="Hadi Santoso"/>
    <s v="Corporate"/>
    <s v="Bogor"/>
    <s v="Jawa Barat"/>
    <x v="1"/>
    <x v="1"/>
    <s v="Storage"/>
    <s v="PROD-2602"/>
    <x v="3"/>
    <n v="3"/>
    <n v="876400"/>
    <n v="0.1"/>
    <n v="2366280"/>
    <n v="1667097.87"/>
    <n v="699182.13"/>
    <s v="Cash"/>
    <x v="20"/>
    <n v="5"/>
    <n v="0.29547734418581062"/>
  </r>
  <r>
    <s v="ORD-00380"/>
    <d v="2024-06-29T00:00:00"/>
    <d v="2024-07-06T00:00:00"/>
    <s v="CUST-0013"/>
    <s v="Nabila Lestari"/>
    <s v="Consumer"/>
    <s v="Makassar"/>
    <s v="Sulawesi Selatan"/>
    <x v="2"/>
    <x v="1"/>
    <s v="Storage"/>
    <s v="PROD-2602"/>
    <x v="3"/>
    <n v="2"/>
    <n v="849700"/>
    <n v="0.05"/>
    <n v="1614430"/>
    <n v="1134659.8400000001"/>
    <n v="479770.16"/>
    <s v="Cash"/>
    <x v="35"/>
    <n v="7"/>
    <n v="0.29717619221644792"/>
  </r>
  <r>
    <s v="ORD-00381"/>
    <d v="2023-12-13T00:00:00"/>
    <d v="2023-12-16T00:00:00"/>
    <s v="CUST-0044"/>
    <s v="Dewi Mahendra"/>
    <s v="Consumer"/>
    <s v="Makassar"/>
    <s v="Sulawesi Selatan"/>
    <x v="2"/>
    <x v="1"/>
    <s v="Desk"/>
    <s v="PROD-4040"/>
    <x v="7"/>
    <n v="6"/>
    <n v="2996800"/>
    <n v="0.1"/>
    <n v="16182720"/>
    <n v="12212473.07"/>
    <n v="3970246.93"/>
    <s v="Bank Transfer"/>
    <x v="4"/>
    <n v="3"/>
    <n v="0.24533866556425621"/>
  </r>
  <r>
    <s v="ORD-00382"/>
    <d v="2023-04-22T00:00:00"/>
    <d v="2023-04-24T00:00:00"/>
    <s v="CUST-0109"/>
    <s v="Gita Saputra"/>
    <s v="Consumer"/>
    <s v="Yogyakarta"/>
    <s v="DI Yogyakarta"/>
    <x v="0"/>
    <x v="0"/>
    <s v="Writing"/>
    <s v="PROD-7527"/>
    <x v="5"/>
    <n v="2"/>
    <n v="45200"/>
    <n v="0.05"/>
    <n v="85880"/>
    <n v="49179.85"/>
    <n v="36700.15"/>
    <s v="Bank Transfer"/>
    <x v="14"/>
    <n v="2"/>
    <n v="0.42734222170470426"/>
  </r>
  <r>
    <s v="ORD-00383"/>
    <d v="2025-12-07T00:00:00"/>
    <d v="2025-12-14T00:00:00"/>
    <s v="CUST-0023"/>
    <s v="Indra Wijaya"/>
    <s v="Corporate"/>
    <s v="Makassar"/>
    <s v="Sulawesi Selatan"/>
    <x v="2"/>
    <x v="2"/>
    <s v="Printer"/>
    <s v="PROD-5410"/>
    <x v="11"/>
    <n v="3"/>
    <n v="1518200"/>
    <n v="0.05"/>
    <n v="4326870"/>
    <n v="3501600.94"/>
    <n v="825269.06"/>
    <s v="Credit Card"/>
    <x v="25"/>
    <n v="7"/>
    <n v="0.19073118905814135"/>
  </r>
  <r>
    <s v="ORD-00384"/>
    <d v="2023-05-04T00:00:00"/>
    <d v="2023-05-07T00:00:00"/>
    <s v="CUST-0185"/>
    <s v="Bayu Santoso"/>
    <s v="Consumer"/>
    <s v="Jakarta"/>
    <s v="DKI Jakarta"/>
    <x v="1"/>
    <x v="2"/>
    <s v="Accessories"/>
    <s v="PROD-3744"/>
    <x v="4"/>
    <n v="1"/>
    <n v="130700"/>
    <n v="0.1"/>
    <n v="117630"/>
    <n v="81011.820000000007"/>
    <n v="36618.18"/>
    <s v="Bank Transfer"/>
    <x v="22"/>
    <n v="3"/>
    <n v="0.31129966845192553"/>
  </r>
  <r>
    <s v="ORD-00385"/>
    <d v="2023-02-09T00:00:00"/>
    <d v="2023-02-12T00:00:00"/>
    <s v="CUST-0102"/>
    <s v="Raka Kusuma"/>
    <s v="Small Business"/>
    <s v="Semarang"/>
    <s v="Jawa Tengah"/>
    <x v="0"/>
    <x v="0"/>
    <s v="Stationery"/>
    <s v="PROD-1004"/>
    <x v="10"/>
    <n v="6"/>
    <n v="27200"/>
    <n v="0.1"/>
    <n v="146880"/>
    <n v="76884.649999999994"/>
    <n v="69995.350000000006"/>
    <s v="Bank Transfer"/>
    <x v="31"/>
    <n v="3"/>
    <n v="0.47654786220043577"/>
  </r>
  <r>
    <s v="ORD-00386"/>
    <d v="2023-02-14T00:00:00"/>
    <d v="2023-02-15T00:00:00"/>
    <s v="CUST-0257"/>
    <s v="Indra Utami"/>
    <s v="Consumer"/>
    <s v="Surabaya"/>
    <s v="Jawa Timur"/>
    <x v="2"/>
    <x v="2"/>
    <s v="Accessories"/>
    <s v="PROD-3744"/>
    <x v="4"/>
    <n v="1"/>
    <n v="131300"/>
    <n v="0.05"/>
    <n v="124735"/>
    <n v="75339.34"/>
    <n v="49395.66"/>
    <s v="Credit Card"/>
    <x v="31"/>
    <n v="1"/>
    <n v="0.39600481019761896"/>
  </r>
  <r>
    <s v="ORD-00387"/>
    <d v="2023-05-07T00:00:00"/>
    <d v="2023-05-13T00:00:00"/>
    <s v="CUST-0196"/>
    <s v="Raka Ramadhan"/>
    <s v="Small Business"/>
    <s v="Jakarta"/>
    <s v="DKI Jakarta"/>
    <x v="1"/>
    <x v="2"/>
    <s v="Accessories"/>
    <s v="PROD-1626"/>
    <x v="20"/>
    <n v="1"/>
    <n v="224300"/>
    <n v="0.05"/>
    <n v="213085"/>
    <n v="130252.43"/>
    <n v="82832.570000000007"/>
    <s v="E-Wallet"/>
    <x v="22"/>
    <n v="6"/>
    <n v="0.38873017809794219"/>
  </r>
  <r>
    <s v="ORD-00388"/>
    <d v="2024-04-10T00:00:00"/>
    <d v="2024-04-14T00:00:00"/>
    <s v="CUST-0104"/>
    <s v="Bayu Wijaya"/>
    <s v="Small Business"/>
    <s v="Malang"/>
    <s v="Jawa Timur"/>
    <x v="2"/>
    <x v="2"/>
    <s v="Smartphone"/>
    <s v="PROD-2176"/>
    <x v="17"/>
    <n v="2"/>
    <n v="2972800"/>
    <n v="0.1"/>
    <n v="5351040"/>
    <n v="4634035.32"/>
    <n v="717004.68"/>
    <s v="E-Wallet"/>
    <x v="1"/>
    <n v="4"/>
    <n v="0.13399351901686402"/>
  </r>
  <r>
    <s v="ORD-00389"/>
    <d v="2024-09-24T00:00:00"/>
    <d v="2024-09-30T00:00:00"/>
    <s v="CUST-0061"/>
    <s v="Fajar Permata"/>
    <s v="Small Business"/>
    <s v="Malang"/>
    <s v="Jawa Timur"/>
    <x v="2"/>
    <x v="0"/>
    <s v="Writing"/>
    <s v="PROD-7527"/>
    <x v="5"/>
    <n v="3"/>
    <n v="46100"/>
    <n v="0"/>
    <n v="138300"/>
    <n v="68954.2"/>
    <n v="69345.8"/>
    <s v="Credit Card"/>
    <x v="16"/>
    <n v="6"/>
    <n v="0.50141576283441791"/>
  </r>
  <r>
    <s v="ORD-00390"/>
    <d v="2023-10-26T00:00:00"/>
    <d v="2023-11-01T00:00:00"/>
    <s v="CUST-0141"/>
    <s v="Eka Utami"/>
    <s v="Small Business"/>
    <s v="Malang"/>
    <s v="Jawa Timur"/>
    <x v="2"/>
    <x v="2"/>
    <s v="Accessories"/>
    <s v="PROD-4943"/>
    <x v="2"/>
    <n v="2"/>
    <n v="536100"/>
    <n v="0.2"/>
    <n v="857760"/>
    <n v="712176.63"/>
    <n v="145583.37"/>
    <s v="E-Wallet"/>
    <x v="30"/>
    <n v="6"/>
    <n v="0.16972506295467263"/>
  </r>
  <r>
    <s v="ORD-00391"/>
    <d v="2024-01-20T00:00:00"/>
    <d v="2024-01-21T00:00:00"/>
    <s v="CUST-0245"/>
    <s v="Eka Saputra"/>
    <s v="Corporate"/>
    <s v="Makassar"/>
    <s v="Sulawesi Selatan"/>
    <x v="2"/>
    <x v="2"/>
    <s v="Laptop"/>
    <s v="PROD-7745"/>
    <x v="14"/>
    <n v="3"/>
    <n v="7796600"/>
    <n v="0"/>
    <n v="23389800"/>
    <n v="17520335.719999999"/>
    <n v="5869464.2800000003"/>
    <s v="Credit Card"/>
    <x v="26"/>
    <n v="1"/>
    <n v="0.25094119145952509"/>
  </r>
  <r>
    <s v="ORD-00392"/>
    <d v="2025-08-18T00:00:00"/>
    <d v="2025-08-24T00:00:00"/>
    <s v="CUST-0139"/>
    <s v="Nadia Putra"/>
    <s v="Consumer"/>
    <s v="Malang"/>
    <s v="Jawa Timur"/>
    <x v="2"/>
    <x v="0"/>
    <s v="Writing"/>
    <s v="PROD-7527"/>
    <x v="5"/>
    <n v="1"/>
    <n v="42700"/>
    <n v="0.05"/>
    <n v="40565"/>
    <n v="23890.3"/>
    <n v="16674.7"/>
    <s v="Credit Card"/>
    <x v="12"/>
    <n v="6"/>
    <n v="0.4110612597066437"/>
  </r>
  <r>
    <s v="ORD-00393"/>
    <d v="2024-02-20T00:00:00"/>
    <d v="2024-02-27T00:00:00"/>
    <s v="CUST-0022"/>
    <s v="Vina Mahendra"/>
    <s v="Small Business"/>
    <s v="Denpasar"/>
    <s v="Bali"/>
    <x v="2"/>
    <x v="2"/>
    <s v="Smartphone"/>
    <s v="PROD-2176"/>
    <x v="17"/>
    <n v="3"/>
    <n v="3490200"/>
    <n v="0.2"/>
    <n v="8376480"/>
    <n v="8002077.54"/>
    <n v="374402.46"/>
    <s v="Cash"/>
    <x v="10"/>
    <n v="7"/>
    <n v="4.4696872672053183E-2"/>
  </r>
  <r>
    <s v="ORD-00394"/>
    <d v="2025-02-18T00:00:00"/>
    <d v="2025-02-24T00:00:00"/>
    <s v="CUST-0203"/>
    <s v="Farhan Pratama"/>
    <s v="Consumer"/>
    <s v="Medan"/>
    <s v="Sumatera Utara"/>
    <x v="1"/>
    <x v="2"/>
    <s v="Laptop"/>
    <s v="PROD-7745"/>
    <x v="14"/>
    <n v="5"/>
    <n v="7456500"/>
    <n v="0.3"/>
    <n v="26097750"/>
    <n v="29587259.609999999"/>
    <n v="-3489509.61"/>
    <s v="Cash"/>
    <x v="3"/>
    <n v="6"/>
    <n v="-0.13370921286317786"/>
  </r>
  <r>
    <s v="ORD-00395"/>
    <d v="2025-03-04T00:00:00"/>
    <d v="2025-03-09T00:00:00"/>
    <s v="CUST-0151"/>
    <s v="Vina Siregar"/>
    <s v="Consumer"/>
    <s v="Semarang"/>
    <s v="Jawa Tengah"/>
    <x v="0"/>
    <x v="0"/>
    <s v="Paper"/>
    <s v="PROD-7955"/>
    <x v="8"/>
    <n v="5"/>
    <n v="62100"/>
    <n v="0"/>
    <n v="310500"/>
    <n v="165932.38"/>
    <n v="144567.62"/>
    <s v="Cash"/>
    <x v="20"/>
    <n v="5"/>
    <n v="0.4655961996779388"/>
  </r>
  <r>
    <s v="ORD-00396"/>
    <d v="2023-04-22T00:00:00"/>
    <d v="2023-04-28T00:00:00"/>
    <s v="CUST-0070"/>
    <s v="Maya Hidayat"/>
    <s v="Corporate"/>
    <s v="Denpasar"/>
    <s v="Bali"/>
    <x v="2"/>
    <x v="1"/>
    <s v="Chair"/>
    <s v="PROD-0956"/>
    <x v="6"/>
    <n v="1"/>
    <n v="656600"/>
    <n v="0"/>
    <n v="656600"/>
    <n v="431195.29"/>
    <n v="225404.71"/>
    <s v="Cash"/>
    <x v="14"/>
    <n v="6"/>
    <n v="0.34329075540664028"/>
  </r>
  <r>
    <s v="ORD-00397"/>
    <d v="2024-10-24T00:00:00"/>
    <d v="2024-10-28T00:00:00"/>
    <s v="CUST-0084"/>
    <s v="Zahra Mahendra"/>
    <s v="Small Business"/>
    <s v="Makassar"/>
    <s v="Sulawesi Selatan"/>
    <x v="2"/>
    <x v="2"/>
    <s v="Printer"/>
    <s v="PROD-5410"/>
    <x v="11"/>
    <n v="5"/>
    <n v="1333800"/>
    <n v="0.05"/>
    <n v="6335550"/>
    <n v="4966449.34"/>
    <n v="1369100.66"/>
    <s v="Credit Card"/>
    <x v="21"/>
    <n v="4"/>
    <n v="0.21609815406712912"/>
  </r>
  <r>
    <s v="ORD-00398"/>
    <d v="2023-09-11T00:00:00"/>
    <d v="2023-09-12T00:00:00"/>
    <s v="CUST-0195"/>
    <s v="Bima Utami"/>
    <s v="Consumer"/>
    <s v="Surabaya"/>
    <s v="Jawa Timur"/>
    <x v="2"/>
    <x v="2"/>
    <s v="Printer"/>
    <s v="PROD-5410"/>
    <x v="11"/>
    <n v="4"/>
    <n v="1616100"/>
    <n v="0.1"/>
    <n v="5817960"/>
    <n v="4518399.75"/>
    <n v="1299560.25"/>
    <s v="Cash"/>
    <x v="33"/>
    <n v="1"/>
    <n v="0.22337043396654496"/>
  </r>
  <r>
    <s v="ORD-00399"/>
    <d v="2023-12-16T00:00:00"/>
    <d v="2023-12-19T00:00:00"/>
    <s v="CUST-0229"/>
    <s v="Joko Ramadhan"/>
    <s v="Consumer"/>
    <s v="Bogor"/>
    <s v="Jawa Barat"/>
    <x v="1"/>
    <x v="1"/>
    <s v="Storage"/>
    <s v="PROD-2602"/>
    <x v="3"/>
    <n v="1"/>
    <n v="919300"/>
    <n v="0.05"/>
    <n v="873335"/>
    <n v="591711.4"/>
    <n v="281623.59999999998"/>
    <s v="Credit Card"/>
    <x v="4"/>
    <n v="3"/>
    <n v="0.32246915559321448"/>
  </r>
  <r>
    <s v="ORD-00400"/>
    <d v="2024-01-06T00:00:00"/>
    <d v="2024-01-07T00:00:00"/>
    <s v="CUST-0253"/>
    <s v="Hadi Putra"/>
    <s v="Corporate"/>
    <s v="Jakarta"/>
    <s v="DKI Jakarta"/>
    <x v="1"/>
    <x v="0"/>
    <s v="Writing"/>
    <s v="PROD-7529"/>
    <x v="0"/>
    <n v="1"/>
    <n v="68600"/>
    <n v="0.05"/>
    <n v="65170"/>
    <n v="39080.28"/>
    <n v="26089.72"/>
    <s v="E-Wallet"/>
    <x v="26"/>
    <n v="1"/>
    <n v="0.40033328218505448"/>
  </r>
  <r>
    <s v="ORD-00401"/>
    <d v="2025-09-01T00:00:00"/>
    <d v="2025-09-05T00:00:00"/>
    <s v="CUST-0107"/>
    <s v="Bima Wijaya"/>
    <s v="Corporate"/>
    <s v="Makassar"/>
    <s v="Sulawesi Selatan"/>
    <x v="2"/>
    <x v="1"/>
    <s v="Chair"/>
    <s v="PROD-9951"/>
    <x v="19"/>
    <n v="5"/>
    <n v="1682100"/>
    <n v="0.1"/>
    <n v="7569450"/>
    <n v="5865200.2400000002"/>
    <n v="1704249.76"/>
    <s v="Credit Card"/>
    <x v="32"/>
    <n v="4"/>
    <n v="0.22514842690023715"/>
  </r>
  <r>
    <s v="ORD-00402"/>
    <d v="2023-10-31T00:00:00"/>
    <d v="2023-11-01T00:00:00"/>
    <s v="CUST-0083"/>
    <s v="Yoga Lestari"/>
    <s v="Small Business"/>
    <s v="Bogor"/>
    <s v="Jawa Barat"/>
    <x v="1"/>
    <x v="0"/>
    <s v="Paper"/>
    <s v="PROD-7955"/>
    <x v="8"/>
    <n v="2"/>
    <n v="53300"/>
    <n v="0"/>
    <n v="106600"/>
    <n v="63272.65"/>
    <n v="43327.35"/>
    <s v="E-Wallet"/>
    <x v="30"/>
    <n v="1"/>
    <n v="0.40644793621013131"/>
  </r>
  <r>
    <s v="ORD-00403"/>
    <d v="2023-12-30T00:00:00"/>
    <d v="2024-01-03T00:00:00"/>
    <s v="CUST-0034"/>
    <s v="Joko Kusuma"/>
    <s v="Consumer"/>
    <s v="Jakarta"/>
    <s v="DKI Jakarta"/>
    <x v="1"/>
    <x v="0"/>
    <s v="Binder"/>
    <s v="PROD-7352"/>
    <x v="16"/>
    <n v="2"/>
    <n v="61500"/>
    <n v="0.2"/>
    <n v="98400"/>
    <n v="68358.070000000007"/>
    <n v="30041.93"/>
    <s v="E-Wallet"/>
    <x v="4"/>
    <n v="4"/>
    <n v="0.30530416666666665"/>
  </r>
  <r>
    <s v="ORD-00404"/>
    <d v="2023-10-03T00:00:00"/>
    <d v="2023-10-04T00:00:00"/>
    <s v="CUST-0045"/>
    <s v="Putri Mahendra"/>
    <s v="Corporate"/>
    <s v="Surabaya"/>
    <s v="Jawa Timur"/>
    <x v="2"/>
    <x v="0"/>
    <s v="Binder"/>
    <s v="PROD-9396"/>
    <x v="21"/>
    <n v="3"/>
    <n v="39300"/>
    <n v="0"/>
    <n v="117900"/>
    <n v="61594.77"/>
    <n v="56305.23"/>
    <s v="Credit Card"/>
    <x v="30"/>
    <n v="1"/>
    <n v="0.4775676844783715"/>
  </r>
  <r>
    <s v="ORD-00405"/>
    <d v="2024-08-11T00:00:00"/>
    <d v="2024-08-15T00:00:00"/>
    <s v="CUST-0255"/>
    <s v="Putri Utami"/>
    <s v="Corporate"/>
    <s v="Yogyakarta"/>
    <s v="DI Yogyakarta"/>
    <x v="0"/>
    <x v="1"/>
    <s v="Desk"/>
    <s v="PROD-6903"/>
    <x v="13"/>
    <n v="6"/>
    <n v="1293900"/>
    <n v="0.05"/>
    <n v="7375230"/>
    <n v="5434473.0899999999"/>
    <n v="1940756.91"/>
    <s v="E-Wallet"/>
    <x v="28"/>
    <n v="4"/>
    <n v="0.26314527275759536"/>
  </r>
  <r>
    <s v="ORD-00406"/>
    <d v="2024-01-04T00:00:00"/>
    <d v="2024-01-09T00:00:00"/>
    <s v="CUST-0213"/>
    <s v="Nadia Pratama"/>
    <s v="Consumer"/>
    <s v="Semarang"/>
    <s v="Jawa Tengah"/>
    <x v="0"/>
    <x v="2"/>
    <s v="Accessories"/>
    <s v="PROD-3744"/>
    <x v="4"/>
    <n v="2"/>
    <n v="134400"/>
    <n v="0.15"/>
    <n v="228480"/>
    <n v="152310.88"/>
    <n v="76169.119999999995"/>
    <s v="Bank Transfer"/>
    <x v="26"/>
    <n v="5"/>
    <n v="0.33337324929971984"/>
  </r>
  <r>
    <s v="ORD-00407"/>
    <d v="2024-11-14T00:00:00"/>
    <d v="2024-11-17T00:00:00"/>
    <s v="CUST-0166"/>
    <s v="Nabila Pratama"/>
    <s v="Consumer"/>
    <s v="Semarang"/>
    <s v="Jawa Tengah"/>
    <x v="0"/>
    <x v="1"/>
    <s v="Storage"/>
    <s v="PROD-2602"/>
    <x v="3"/>
    <n v="3"/>
    <n v="831700"/>
    <n v="0"/>
    <n v="2495100"/>
    <n v="1604034.91"/>
    <n v="891065.09"/>
    <s v="Credit Card"/>
    <x v="2"/>
    <n v="3"/>
    <n v="0.35712600296581298"/>
  </r>
  <r>
    <s v="ORD-00408"/>
    <d v="2023-08-22T00:00:00"/>
    <d v="2023-08-28T00:00:00"/>
    <s v="CUST-0246"/>
    <s v="Rian Kusuma"/>
    <s v="Corporate"/>
    <s v="Makassar"/>
    <s v="Sulawesi Selatan"/>
    <x v="2"/>
    <x v="2"/>
    <s v="Accessories"/>
    <s v="PROD-1626"/>
    <x v="20"/>
    <n v="5"/>
    <n v="216800"/>
    <n v="0.2"/>
    <n v="867200"/>
    <n v="695860.6"/>
    <n v="171339.4"/>
    <s v="Bank Transfer"/>
    <x v="0"/>
    <n v="6"/>
    <n v="0.19757772140221402"/>
  </r>
  <r>
    <s v="ORD-00409"/>
    <d v="2023-03-14T00:00:00"/>
    <d v="2023-03-20T00:00:00"/>
    <s v="CUST-0154"/>
    <s v="Toni Mahendra"/>
    <s v="Small Business"/>
    <s v="Denpasar"/>
    <s v="Bali"/>
    <x v="2"/>
    <x v="2"/>
    <s v="Smartphone"/>
    <s v="PROD-2176"/>
    <x v="17"/>
    <n v="2"/>
    <n v="3453200"/>
    <n v="0.25"/>
    <n v="5179800"/>
    <n v="5024647.74"/>
    <n v="155152.26"/>
    <s v="E-Wallet"/>
    <x v="24"/>
    <n v="6"/>
    <n v="2.9953330244410981E-2"/>
  </r>
  <r>
    <s v="ORD-00410"/>
    <d v="2024-10-08T00:00:00"/>
    <d v="2024-10-13T00:00:00"/>
    <s v="CUST-0193"/>
    <s v="Wulan Saputra"/>
    <s v="Corporate"/>
    <s v="Makassar"/>
    <s v="Sulawesi Selatan"/>
    <x v="2"/>
    <x v="1"/>
    <s v="Chair"/>
    <s v="PROD-0956"/>
    <x v="6"/>
    <n v="1"/>
    <n v="606400"/>
    <n v="0.2"/>
    <n v="485120"/>
    <n v="385802.28"/>
    <n v="99317.72"/>
    <s v="E-Wallet"/>
    <x v="21"/>
    <n v="5"/>
    <n v="0.20472814973614775"/>
  </r>
  <r>
    <s v="ORD-00411"/>
    <d v="2023-12-06T00:00:00"/>
    <d v="2023-12-11T00:00:00"/>
    <s v="CUST-0255"/>
    <s v="Dinda Putra"/>
    <s v="Consumer"/>
    <s v="Makassar"/>
    <s v="Sulawesi Selatan"/>
    <x v="2"/>
    <x v="1"/>
    <s v="Chair"/>
    <s v="PROD-0956"/>
    <x v="6"/>
    <n v="3"/>
    <n v="630000"/>
    <n v="0"/>
    <n v="1890000"/>
    <n v="1214200.1599999999"/>
    <n v="675799.84"/>
    <s v="E-Wallet"/>
    <x v="4"/>
    <n v="5"/>
    <n v="0.35756605291005289"/>
  </r>
  <r>
    <s v="ORD-00412"/>
    <d v="2025-01-31T00:00:00"/>
    <d v="2025-02-04T00:00:00"/>
    <s v="CUST-0228"/>
    <s v="Raka Pratama"/>
    <s v="Corporate"/>
    <s v="Semarang"/>
    <s v="Jawa Tengah"/>
    <x v="0"/>
    <x v="0"/>
    <s v="Binder"/>
    <s v="PROD-9396"/>
    <x v="21"/>
    <n v="1"/>
    <n v="40800"/>
    <n v="0.15"/>
    <n v="34680"/>
    <n v="21802.21"/>
    <n v="12877.79"/>
    <s v="Credit Card"/>
    <x v="17"/>
    <n v="4"/>
    <n v="0.3713318915801615"/>
  </r>
  <r>
    <s v="ORD-00413"/>
    <d v="2025-09-15T00:00:00"/>
    <d v="2025-09-20T00:00:00"/>
    <s v="CUST-0068"/>
    <s v="Gita Mahendra"/>
    <s v="Corporate"/>
    <s v="Denpasar"/>
    <s v="Bali"/>
    <x v="2"/>
    <x v="2"/>
    <s v="Accessories"/>
    <s v="PROD-4943"/>
    <x v="2"/>
    <n v="4"/>
    <n v="451800"/>
    <n v="0.2"/>
    <n v="1445760"/>
    <n v="1184193.76"/>
    <n v="261566.24"/>
    <s v="E-Wallet"/>
    <x v="32"/>
    <n v="5"/>
    <n v="0.18091954404603805"/>
  </r>
  <r>
    <s v="ORD-00414"/>
    <d v="2023-03-16T00:00:00"/>
    <d v="2023-03-20T00:00:00"/>
    <s v="CUST-0024"/>
    <s v="Dewi Saputra"/>
    <s v="Consumer"/>
    <s v="Bandung"/>
    <s v="Jawa Barat"/>
    <x v="1"/>
    <x v="1"/>
    <s v="Storage"/>
    <s v="PROD-7524"/>
    <x v="1"/>
    <n v="3"/>
    <n v="1010100"/>
    <n v="0"/>
    <n v="3030300"/>
    <n v="2082639.83"/>
    <n v="947660.17"/>
    <s v="Bank Transfer"/>
    <x v="24"/>
    <n v="4"/>
    <n v="0.31272816882816884"/>
  </r>
  <r>
    <s v="ORD-00415"/>
    <d v="2024-10-01T00:00:00"/>
    <d v="2024-10-02T00:00:00"/>
    <s v="CUST-0140"/>
    <s v="Eka Wijaya"/>
    <s v="Consumer"/>
    <s v="Semarang"/>
    <s v="Jawa Tengah"/>
    <x v="0"/>
    <x v="1"/>
    <s v="Desk"/>
    <s v="PROD-6903"/>
    <x v="13"/>
    <n v="1"/>
    <n v="1271400"/>
    <n v="0.15"/>
    <n v="1080690"/>
    <n v="883565.67"/>
    <n v="197124.33"/>
    <s v="Credit Card"/>
    <x v="21"/>
    <n v="1"/>
    <n v="0.18240599061710572"/>
  </r>
  <r>
    <s v="ORD-00416"/>
    <d v="2024-07-14T00:00:00"/>
    <d v="2024-07-15T00:00:00"/>
    <s v="CUST-0088"/>
    <s v="Citra Lestari"/>
    <s v="Corporate"/>
    <s v="Semarang"/>
    <s v="Jawa Tengah"/>
    <x v="0"/>
    <x v="2"/>
    <s v="Laptop"/>
    <s v="PROD-8448"/>
    <x v="12"/>
    <n v="1"/>
    <n v="6755900"/>
    <n v="0.15"/>
    <n v="5742515"/>
    <n v="5537842.4800000004"/>
    <n v="204672.52"/>
    <s v="E-Wallet"/>
    <x v="29"/>
    <n v="1"/>
    <n v="3.5641616957030151E-2"/>
  </r>
  <r>
    <s v="ORD-00417"/>
    <d v="2024-11-24T00:00:00"/>
    <d v="2024-11-29T00:00:00"/>
    <s v="CUST-0229"/>
    <s v="Vina Permata"/>
    <s v="Consumer"/>
    <s v="Jakarta"/>
    <s v="DKI Jakarta"/>
    <x v="1"/>
    <x v="1"/>
    <s v="Chair"/>
    <s v="PROD-0956"/>
    <x v="6"/>
    <n v="1"/>
    <n v="592700"/>
    <n v="0.05"/>
    <n v="563065"/>
    <n v="369187.72"/>
    <n v="193877.28"/>
    <s v="Bank Transfer"/>
    <x v="2"/>
    <n v="5"/>
    <n v="0.3443248648024651"/>
  </r>
  <r>
    <s v="ORD-00418"/>
    <d v="2024-10-01T00:00:00"/>
    <d v="2024-10-04T00:00:00"/>
    <s v="CUST-0239"/>
    <s v="Putri Putra"/>
    <s v="Corporate"/>
    <s v="Denpasar"/>
    <s v="Bali"/>
    <x v="2"/>
    <x v="0"/>
    <s v="Paper"/>
    <s v="PROD-9601"/>
    <x v="9"/>
    <n v="5"/>
    <n v="83800"/>
    <n v="0.05"/>
    <n v="398050"/>
    <n v="245262.09"/>
    <n v="152787.91"/>
    <s v="Bank Transfer"/>
    <x v="21"/>
    <n v="3"/>
    <n v="0.38384099987438763"/>
  </r>
  <r>
    <s v="ORD-00419"/>
    <d v="2024-04-03T00:00:00"/>
    <d v="2024-04-05T00:00:00"/>
    <s v="CUST-0244"/>
    <s v="Dewi Permata"/>
    <s v="Consumer"/>
    <s v="Surabaya"/>
    <s v="Jawa Timur"/>
    <x v="2"/>
    <x v="0"/>
    <s v="Binder"/>
    <s v="PROD-9396"/>
    <x v="21"/>
    <n v="4"/>
    <n v="41600"/>
    <n v="0.05"/>
    <n v="158080"/>
    <n v="79367.34"/>
    <n v="78712.66"/>
    <s v="E-Wallet"/>
    <x v="1"/>
    <n v="2"/>
    <n v="0.49792927631578948"/>
  </r>
  <r>
    <s v="ORD-00420"/>
    <d v="2025-09-07T00:00:00"/>
    <d v="2025-09-11T00:00:00"/>
    <s v="CUST-0037"/>
    <s v="Rizky Lestari"/>
    <s v="Corporate"/>
    <s v="Surabaya"/>
    <s v="Jawa Timur"/>
    <x v="2"/>
    <x v="0"/>
    <s v="Binder"/>
    <s v="PROD-9396"/>
    <x v="21"/>
    <n v="2"/>
    <n v="37600"/>
    <n v="0.15"/>
    <n v="63920"/>
    <n v="36242.92"/>
    <n v="27677.08"/>
    <s v="Credit Card"/>
    <x v="32"/>
    <n v="4"/>
    <n v="0.43299561952440552"/>
  </r>
  <r>
    <s v="ORD-00421"/>
    <d v="2025-12-27T00:00:00"/>
    <d v="2025-12-31T00:00:00"/>
    <s v="CUST-0221"/>
    <s v="Rizky Hidayat"/>
    <s v="Corporate"/>
    <s v="Semarang"/>
    <s v="Jawa Tengah"/>
    <x v="0"/>
    <x v="1"/>
    <s v="Desk"/>
    <s v="PROD-4040"/>
    <x v="7"/>
    <n v="10"/>
    <n v="3101000"/>
    <n v="0.05"/>
    <n v="29459500"/>
    <n v="22918446.870000001"/>
    <n v="6541053.1299999999"/>
    <s v="Credit Card"/>
    <x v="25"/>
    <n v="4"/>
    <n v="0.22203544289617949"/>
  </r>
  <r>
    <s v="ORD-00422"/>
    <d v="2024-12-01T00:00:00"/>
    <d v="2024-12-06T00:00:00"/>
    <s v="CUST-0228"/>
    <s v="Fajar Lestari"/>
    <s v="Corporate"/>
    <s v="Bandung"/>
    <s v="Jawa Barat"/>
    <x v="1"/>
    <x v="0"/>
    <s v="Writing"/>
    <s v="PROD-7527"/>
    <x v="5"/>
    <n v="1"/>
    <n v="46400"/>
    <n v="0.05"/>
    <n v="44080"/>
    <n v="23227.91"/>
    <n v="20852.09"/>
    <s v="Cash"/>
    <x v="23"/>
    <n v="5"/>
    <n v="0.47305104355716876"/>
  </r>
  <r>
    <s v="ORD-00423"/>
    <d v="2025-04-11T00:00:00"/>
    <d v="2025-04-12T00:00:00"/>
    <s v="CUST-0072"/>
    <s v="Dinda Anggraini"/>
    <s v="Corporate"/>
    <s v="Makassar"/>
    <s v="Sulawesi Selatan"/>
    <x v="2"/>
    <x v="1"/>
    <s v="Storage"/>
    <s v="PROD-2602"/>
    <x v="3"/>
    <n v="2"/>
    <n v="906500"/>
    <n v="0"/>
    <n v="1813000"/>
    <n v="1152865.3"/>
    <n v="660134.69999999995"/>
    <s v="Cash"/>
    <x v="5"/>
    <n v="1"/>
    <n v="0.36411180364037504"/>
  </r>
  <r>
    <s v="ORD-00424"/>
    <d v="2023-01-01T00:00:00"/>
    <d v="2023-01-08T00:00:00"/>
    <s v="CUST-0154"/>
    <s v="Toni Utami"/>
    <s v="Corporate"/>
    <s v="Denpasar"/>
    <s v="Bali"/>
    <x v="2"/>
    <x v="2"/>
    <s v="Smartphone"/>
    <s v="PROD-2176"/>
    <x v="17"/>
    <n v="3"/>
    <n v="3194800"/>
    <n v="0"/>
    <n v="9584400"/>
    <n v="7750804.8399999999"/>
    <n v="1833595.16"/>
    <s v="Cash"/>
    <x v="11"/>
    <n v="7"/>
    <n v="0.19131037519302199"/>
  </r>
  <r>
    <s v="ORD-00425"/>
    <d v="2024-09-15T00:00:00"/>
    <d v="2024-09-19T00:00:00"/>
    <s v="CUST-0028"/>
    <s v="Aldi Mahendra"/>
    <s v="Corporate"/>
    <s v="Bandung"/>
    <s v="Jawa Barat"/>
    <x v="1"/>
    <x v="0"/>
    <s v="Binder"/>
    <s v="PROD-7352"/>
    <x v="16"/>
    <n v="5"/>
    <n v="60900"/>
    <n v="0"/>
    <n v="304500"/>
    <n v="172220.36"/>
    <n v="132279.64000000001"/>
    <s v="Cash"/>
    <x v="16"/>
    <n v="4"/>
    <n v="0.43441589490968807"/>
  </r>
  <r>
    <s v="ORD-00426"/>
    <d v="2025-01-05T00:00:00"/>
    <d v="2025-01-06T00:00:00"/>
    <s v="CUST-0109"/>
    <s v="Yoga Wijaya"/>
    <s v="Consumer"/>
    <s v="Semarang"/>
    <s v="Jawa Tengah"/>
    <x v="0"/>
    <x v="0"/>
    <s v="Paper"/>
    <s v="PROD-7955"/>
    <x v="8"/>
    <n v="3"/>
    <n v="61300"/>
    <n v="0.05"/>
    <n v="174705"/>
    <n v="101810"/>
    <n v="72895"/>
    <s v="Cash"/>
    <x v="17"/>
    <n v="1"/>
    <n v="0.41724621504822412"/>
  </r>
  <r>
    <s v="ORD-00427"/>
    <d v="2025-08-30T00:00:00"/>
    <d v="2025-09-01T00:00:00"/>
    <s v="CUST-0009"/>
    <s v="Eka Mahendra"/>
    <s v="Small Business"/>
    <s v="Surabaya"/>
    <s v="Jawa Timur"/>
    <x v="2"/>
    <x v="2"/>
    <s v="Accessories"/>
    <s v="PROD-1626"/>
    <x v="20"/>
    <n v="1"/>
    <n v="251200"/>
    <n v="0"/>
    <n v="251200"/>
    <n v="143411.34"/>
    <n v="107788.66"/>
    <s v="Credit Card"/>
    <x v="12"/>
    <n v="2"/>
    <n v="0.42909498407643315"/>
  </r>
  <r>
    <s v="ORD-00428"/>
    <d v="2025-09-23T00:00:00"/>
    <d v="2025-09-29T00:00:00"/>
    <s v="CUST-0093"/>
    <s v="Oki Saputra"/>
    <s v="Consumer"/>
    <s v="Bandung"/>
    <s v="Jawa Barat"/>
    <x v="1"/>
    <x v="1"/>
    <s v="Chair"/>
    <s v="PROD-0956"/>
    <x v="6"/>
    <n v="5"/>
    <n v="712800"/>
    <n v="0.1"/>
    <n v="3207600"/>
    <n v="2442772.29"/>
    <n v="764827.71"/>
    <s v="Cash"/>
    <x v="32"/>
    <n v="6"/>
    <n v="0.23844235877291431"/>
  </r>
  <r>
    <s v="ORD-00429"/>
    <d v="2025-05-18T00:00:00"/>
    <d v="2025-05-23T00:00:00"/>
    <s v="CUST-0257"/>
    <s v="Indra Hidayat"/>
    <s v="Consumer"/>
    <s v="Surabaya"/>
    <s v="Jawa Timur"/>
    <x v="2"/>
    <x v="0"/>
    <s v="Stationery"/>
    <s v="PROD-1004"/>
    <x v="10"/>
    <n v="3"/>
    <n v="27700"/>
    <n v="0.2"/>
    <n v="66480"/>
    <n v="39936.28"/>
    <n v="26543.72"/>
    <s v="Cash"/>
    <x v="6"/>
    <n v="5"/>
    <n v="0.39927376654632973"/>
  </r>
  <r>
    <s v="ORD-00430"/>
    <d v="2025-01-21T00:00:00"/>
    <d v="2025-01-22T00:00:00"/>
    <s v="CUST-0144"/>
    <s v="Oki Saputra"/>
    <s v="Consumer"/>
    <s v="Surabaya"/>
    <s v="Jawa Timur"/>
    <x v="2"/>
    <x v="0"/>
    <s v="Stationery"/>
    <s v="PROD-5388"/>
    <x v="18"/>
    <n v="8"/>
    <n v="105500"/>
    <n v="0.15"/>
    <n v="717400"/>
    <n v="489947.77"/>
    <n v="227452.23"/>
    <s v="Cash"/>
    <x v="17"/>
    <n v="1"/>
    <n v="0.31705078059659886"/>
  </r>
  <r>
    <s v="ORD-00431"/>
    <d v="2023-06-10T00:00:00"/>
    <d v="2023-06-15T00:00:00"/>
    <s v="CUST-0176"/>
    <s v="Sari Utami"/>
    <s v="Consumer"/>
    <s v="Semarang"/>
    <s v="Jawa Tengah"/>
    <x v="0"/>
    <x v="0"/>
    <s v="Paper"/>
    <s v="PROD-9601"/>
    <x v="9"/>
    <n v="3"/>
    <n v="77400"/>
    <n v="0.1"/>
    <n v="208980"/>
    <n v="138675.22"/>
    <n v="70304.78"/>
    <s v="Bank Transfer"/>
    <x v="9"/>
    <n v="5"/>
    <n v="0.33641870035410087"/>
  </r>
  <r>
    <s v="ORD-00432"/>
    <d v="2023-01-23T00:00:00"/>
    <d v="2023-01-27T00:00:00"/>
    <s v="CUST-0156"/>
    <s v="Farhan Utami"/>
    <s v="Corporate"/>
    <s v="Makassar"/>
    <s v="Sulawesi Selatan"/>
    <x v="2"/>
    <x v="1"/>
    <s v="Desk"/>
    <s v="PROD-4040"/>
    <x v="7"/>
    <n v="2"/>
    <n v="3512600"/>
    <n v="0"/>
    <n v="7025200"/>
    <n v="4778844.83"/>
    <n v="2246355.17"/>
    <s v="Cash"/>
    <x v="11"/>
    <n v="4"/>
    <n v="0.31975675710300061"/>
  </r>
  <r>
    <s v="ORD-00433"/>
    <d v="2024-06-17T00:00:00"/>
    <d v="2024-06-18T00:00:00"/>
    <s v="CUST-0259"/>
    <s v="Citra Nugroho"/>
    <s v="Consumer"/>
    <s v="Makassar"/>
    <s v="Sulawesi Selatan"/>
    <x v="2"/>
    <x v="0"/>
    <s v="Writing"/>
    <s v="PROD-7527"/>
    <x v="5"/>
    <n v="4"/>
    <n v="46700"/>
    <n v="0"/>
    <n v="186800"/>
    <n v="93321.11"/>
    <n v="93478.89"/>
    <s v="E-Wallet"/>
    <x v="35"/>
    <n v="1"/>
    <n v="0.5004223233404711"/>
  </r>
  <r>
    <s v="ORD-00434"/>
    <d v="2024-07-23T00:00:00"/>
    <d v="2024-07-26T00:00:00"/>
    <s v="CUST-0229"/>
    <s v="Lina Utami"/>
    <s v="Small Business"/>
    <s v="Yogyakarta"/>
    <s v="DI Yogyakarta"/>
    <x v="0"/>
    <x v="2"/>
    <s v="Accessories"/>
    <s v="PROD-3744"/>
    <x v="4"/>
    <n v="4"/>
    <n v="129100"/>
    <n v="0.25"/>
    <n v="387300"/>
    <n v="313309.24"/>
    <n v="73990.759999999995"/>
    <s v="Bank Transfer"/>
    <x v="29"/>
    <n v="3"/>
    <n v="0.19104249935450554"/>
  </r>
  <r>
    <s v="ORD-00435"/>
    <d v="2023-12-26T00:00:00"/>
    <d v="2023-12-29T00:00:00"/>
    <s v="CUST-0079"/>
    <s v="Anisa Kusuma"/>
    <s v="Consumer"/>
    <s v="Denpasar"/>
    <s v="Bali"/>
    <x v="2"/>
    <x v="0"/>
    <s v="Writing"/>
    <s v="PROD-7529"/>
    <x v="0"/>
    <n v="2"/>
    <n v="62500"/>
    <n v="0"/>
    <n v="125000"/>
    <n v="72320.34"/>
    <n v="52679.66"/>
    <s v="Bank Transfer"/>
    <x v="4"/>
    <n v="3"/>
    <n v="0.42143728000000003"/>
  </r>
  <r>
    <s v="ORD-00436"/>
    <d v="2025-04-25T00:00:00"/>
    <d v="2025-05-02T00:00:00"/>
    <s v="CUST-0060"/>
    <s v="Bima Wijaya"/>
    <s v="Corporate"/>
    <s v="Denpasar"/>
    <s v="Bali"/>
    <x v="2"/>
    <x v="1"/>
    <s v="Storage"/>
    <s v="PROD-2602"/>
    <x v="3"/>
    <n v="1"/>
    <n v="923600"/>
    <n v="0.05"/>
    <n v="877420"/>
    <n v="620447.75"/>
    <n v="256972.25"/>
    <s v="Credit Card"/>
    <x v="5"/>
    <n v="7"/>
    <n v="0.29287256957899294"/>
  </r>
  <r>
    <s v="ORD-00437"/>
    <d v="2025-08-08T00:00:00"/>
    <d v="2025-08-12T00:00:00"/>
    <s v="CUST-0230"/>
    <s v="Maya Ramadhan"/>
    <s v="Consumer"/>
    <s v="Medan"/>
    <s v="Sumatera Utara"/>
    <x v="1"/>
    <x v="1"/>
    <s v="Desk"/>
    <s v="PROD-4040"/>
    <x v="7"/>
    <n v="2"/>
    <n v="2935600"/>
    <n v="0.2"/>
    <n v="4696960"/>
    <n v="3910686.18"/>
    <n v="786273.82"/>
    <s v="Cash"/>
    <x v="12"/>
    <n v="4"/>
    <n v="0.16740057824635507"/>
  </r>
  <r>
    <s v="ORD-00438"/>
    <d v="2024-10-08T00:00:00"/>
    <d v="2024-10-13T00:00:00"/>
    <s v="CUST-0172"/>
    <s v="Indra Lestari"/>
    <s v="Small Business"/>
    <s v="Bandung"/>
    <s v="Jawa Barat"/>
    <x v="1"/>
    <x v="0"/>
    <s v="Paper"/>
    <s v="PROD-7955"/>
    <x v="8"/>
    <n v="8"/>
    <n v="57700"/>
    <n v="0.25"/>
    <n v="346200"/>
    <n v="269515.51"/>
    <n v="76684.490000000005"/>
    <s v="E-Wallet"/>
    <x v="21"/>
    <n v="5"/>
    <n v="0.22150343731946853"/>
  </r>
  <r>
    <s v="ORD-00439"/>
    <d v="2023-07-21T00:00:00"/>
    <d v="2023-07-24T00:00:00"/>
    <s v="CUST-0093"/>
    <s v="Kartika Saputra"/>
    <s v="Corporate"/>
    <s v="Denpasar"/>
    <s v="Bali"/>
    <x v="2"/>
    <x v="0"/>
    <s v="Stationery"/>
    <s v="PROD-1004"/>
    <x v="10"/>
    <n v="4"/>
    <n v="27800"/>
    <n v="0"/>
    <n v="111200"/>
    <n v="54153.599999999999"/>
    <n v="57046.400000000001"/>
    <s v="Credit Card"/>
    <x v="13"/>
    <n v="3"/>
    <n v="0.51300719424460428"/>
  </r>
  <r>
    <s v="ORD-00440"/>
    <d v="2023-01-22T00:00:00"/>
    <d v="2023-01-28T00:00:00"/>
    <s v="CUST-0018"/>
    <s v="Aldi Anggraini"/>
    <s v="Consumer"/>
    <s v="Jakarta"/>
    <s v="DKI Jakarta"/>
    <x v="1"/>
    <x v="2"/>
    <s v="Laptop"/>
    <s v="PROD-8448"/>
    <x v="12"/>
    <n v="3"/>
    <n v="5961700"/>
    <n v="0.15"/>
    <n v="15202335"/>
    <n v="14061215.449999999"/>
    <n v="1141119.55"/>
    <s v="Bank Transfer"/>
    <x v="11"/>
    <n v="6"/>
    <n v="7.5062123680342527E-2"/>
  </r>
  <r>
    <s v="ORD-00441"/>
    <d v="2023-07-08T00:00:00"/>
    <d v="2023-07-09T00:00:00"/>
    <s v="CUST-0095"/>
    <s v="Dinda Santoso"/>
    <s v="Corporate"/>
    <s v="Makassar"/>
    <s v="Sulawesi Selatan"/>
    <x v="2"/>
    <x v="0"/>
    <s v="Writing"/>
    <s v="PROD-7529"/>
    <x v="0"/>
    <n v="1"/>
    <n v="70200"/>
    <n v="0.05"/>
    <n v="66690"/>
    <n v="39776.92"/>
    <n v="26913.08"/>
    <s v="Bank Transfer"/>
    <x v="13"/>
    <n v="1"/>
    <n v="0.40355495576548212"/>
  </r>
  <r>
    <s v="ORD-00442"/>
    <d v="2024-01-13T00:00:00"/>
    <d v="2024-01-16T00:00:00"/>
    <s v="CUST-0132"/>
    <s v="Fajar Utami"/>
    <s v="Small Business"/>
    <s v="Denpasar"/>
    <s v="Bali"/>
    <x v="2"/>
    <x v="2"/>
    <s v="Laptop"/>
    <s v="PROD-8448"/>
    <x v="12"/>
    <n v="4"/>
    <n v="6419000"/>
    <n v="0.1"/>
    <n v="23108400"/>
    <n v="21570213.469999999"/>
    <n v="1538186.53"/>
    <s v="E-Wallet"/>
    <x v="26"/>
    <n v="3"/>
    <n v="6.6563956396808094E-2"/>
  </r>
  <r>
    <s v="ORD-00443"/>
    <d v="2023-06-01T00:00:00"/>
    <d v="2023-06-04T00:00:00"/>
    <s v="CUST-0103"/>
    <s v="Vina Hidayat"/>
    <s v="Consumer"/>
    <s v="Malang"/>
    <s v="Jawa Timur"/>
    <x v="2"/>
    <x v="0"/>
    <s v="Stationery"/>
    <s v="PROD-1004"/>
    <x v="10"/>
    <n v="1"/>
    <n v="29100"/>
    <n v="0"/>
    <n v="29100"/>
    <n v="13674.69"/>
    <n v="15425.31"/>
    <s v="Bank Transfer"/>
    <x v="9"/>
    <n v="3"/>
    <n v="0.53007938144329891"/>
  </r>
  <r>
    <s v="ORD-00444"/>
    <d v="2024-01-01T00:00:00"/>
    <d v="2024-01-07T00:00:00"/>
    <s v="CUST-0018"/>
    <s v="Citra Santoso"/>
    <s v="Corporate"/>
    <s v="Medan"/>
    <s v="Sumatera Utara"/>
    <x v="1"/>
    <x v="1"/>
    <s v="Chair"/>
    <s v="PROD-0956"/>
    <x v="6"/>
    <n v="3"/>
    <n v="600200"/>
    <n v="0.05"/>
    <n v="1710570"/>
    <n v="1133565.01"/>
    <n v="577004.99"/>
    <s v="Credit Card"/>
    <x v="26"/>
    <n v="6"/>
    <n v="0.33731737958692132"/>
  </r>
  <r>
    <s v="ORD-00445"/>
    <d v="2024-05-28T00:00:00"/>
    <d v="2024-06-04T00:00:00"/>
    <s v="CUST-0201"/>
    <s v="Toni Pratama"/>
    <s v="Corporate"/>
    <s v="Bogor"/>
    <s v="Jawa Barat"/>
    <x v="1"/>
    <x v="1"/>
    <s v="Desk"/>
    <s v="PROD-4040"/>
    <x v="7"/>
    <n v="6"/>
    <n v="3295600"/>
    <n v="0"/>
    <n v="19773600"/>
    <n v="14409121.65"/>
    <n v="5364478.3499999996"/>
    <s v="Bank Transfer"/>
    <x v="15"/>
    <n v="7"/>
    <n v="0.271294976635514"/>
  </r>
  <r>
    <s v="ORD-00446"/>
    <d v="2025-11-21T00:00:00"/>
    <d v="2025-11-27T00:00:00"/>
    <s v="CUST-0247"/>
    <s v="Dewi Anggraini"/>
    <s v="Consumer"/>
    <s v="Denpasar"/>
    <s v="Bali"/>
    <x v="2"/>
    <x v="0"/>
    <s v="Stationery"/>
    <s v="PROD-5388"/>
    <x v="18"/>
    <n v="2"/>
    <n v="103600"/>
    <n v="0.25"/>
    <n v="155400"/>
    <n v="124757.62"/>
    <n v="30642.38"/>
    <s v="Bank Transfer"/>
    <x v="34"/>
    <n v="6"/>
    <n v="0.19718391248391248"/>
  </r>
  <r>
    <s v="ORD-00447"/>
    <d v="2025-01-05T00:00:00"/>
    <d v="2025-01-08T00:00:00"/>
    <s v="CUST-0149"/>
    <s v="Wulan Putra"/>
    <s v="Corporate"/>
    <s v="Jakarta"/>
    <s v="DKI Jakarta"/>
    <x v="1"/>
    <x v="0"/>
    <s v="Stationery"/>
    <s v="PROD-1004"/>
    <x v="10"/>
    <n v="2"/>
    <n v="29400"/>
    <n v="0.05"/>
    <n v="55860"/>
    <n v="30522.1"/>
    <n v="25337.9"/>
    <s v="Bank Transfer"/>
    <x v="17"/>
    <n v="3"/>
    <n v="0.45359649122807022"/>
  </r>
  <r>
    <s v="ORD-00448"/>
    <d v="2023-12-28T00:00:00"/>
    <d v="2024-01-02T00:00:00"/>
    <s v="CUST-0225"/>
    <s v="Farhan Putra"/>
    <s v="Consumer"/>
    <s v="Semarang"/>
    <s v="Jawa Tengah"/>
    <x v="0"/>
    <x v="2"/>
    <s v="Accessories"/>
    <s v="PROD-1626"/>
    <x v="20"/>
    <n v="6"/>
    <n v="238900"/>
    <n v="0.05"/>
    <n v="1361730"/>
    <n v="826526.07"/>
    <n v="535203.93000000005"/>
    <s v="Cash"/>
    <x v="4"/>
    <n v="5"/>
    <n v="0.39303234121301583"/>
  </r>
  <r>
    <s v="ORD-00449"/>
    <d v="2023-10-14T00:00:00"/>
    <d v="2023-10-15T00:00:00"/>
    <s v="CUST-0009"/>
    <s v="Bima Permata"/>
    <s v="Consumer"/>
    <s v="Denpasar"/>
    <s v="Bali"/>
    <x v="2"/>
    <x v="2"/>
    <s v="Smartphone"/>
    <s v="PROD-6076"/>
    <x v="15"/>
    <n v="2"/>
    <n v="5227800"/>
    <n v="0.15"/>
    <n v="8887260"/>
    <n v="8434960.9800000004"/>
    <n v="452299.02"/>
    <s v="E-Wallet"/>
    <x v="30"/>
    <n v="1"/>
    <n v="5.0892965885998613E-2"/>
  </r>
  <r>
    <s v="ORD-00450"/>
    <d v="2023-04-25T00:00:00"/>
    <d v="2023-04-28T00:00:00"/>
    <s v="CUST-0120"/>
    <s v="Rian Santoso"/>
    <s v="Consumer"/>
    <s v="Malang"/>
    <s v="Jawa Timur"/>
    <x v="2"/>
    <x v="0"/>
    <s v="Paper"/>
    <s v="PROD-7955"/>
    <x v="8"/>
    <n v="8"/>
    <n v="63300"/>
    <n v="0.1"/>
    <n v="455760"/>
    <n v="291425.7"/>
    <n v="164334.29999999999"/>
    <s v="Cash"/>
    <x v="14"/>
    <n v="3"/>
    <n v="0.36057201158504476"/>
  </r>
  <r>
    <s v="ORD-00451"/>
    <d v="2023-03-17T00:00:00"/>
    <d v="2023-03-23T00:00:00"/>
    <s v="CUST-0158"/>
    <s v="Anisa Utami"/>
    <s v="Small Business"/>
    <s v="Denpasar"/>
    <s v="Bali"/>
    <x v="2"/>
    <x v="2"/>
    <s v="Laptop"/>
    <s v="PROD-7745"/>
    <x v="14"/>
    <n v="1"/>
    <n v="8550400"/>
    <n v="0"/>
    <n v="8550400"/>
    <n v="6884370.5599999996"/>
    <n v="1666029.44"/>
    <s v="Bank Transfer"/>
    <x v="24"/>
    <n v="6"/>
    <n v="0.19484812874251498"/>
  </r>
  <r>
    <s v="ORD-00452"/>
    <d v="2023-07-19T00:00:00"/>
    <d v="2023-07-23T00:00:00"/>
    <s v="CUST-0104"/>
    <s v="Nadia Permata"/>
    <s v="Corporate"/>
    <s v="Bandung"/>
    <s v="Jawa Barat"/>
    <x v="1"/>
    <x v="1"/>
    <s v="Storage"/>
    <s v="PROD-7524"/>
    <x v="1"/>
    <n v="1"/>
    <n v="1010300"/>
    <n v="0.1"/>
    <n v="909270"/>
    <n v="658290.19999999995"/>
    <n v="250979.8"/>
    <s v="Bank Transfer"/>
    <x v="13"/>
    <n v="4"/>
    <n v="0.27602340338953224"/>
  </r>
  <r>
    <s v="ORD-00453"/>
    <d v="2025-04-03T00:00:00"/>
    <d v="2025-04-06T00:00:00"/>
    <s v="CUST-0073"/>
    <s v="Nabila Hidayat"/>
    <s v="Small Business"/>
    <s v="Surabaya"/>
    <s v="Jawa Timur"/>
    <x v="2"/>
    <x v="2"/>
    <s v="Smartphone"/>
    <s v="PROD-2176"/>
    <x v="17"/>
    <n v="4"/>
    <n v="3297500"/>
    <n v="0.05"/>
    <n v="12530500"/>
    <n v="9680532.1400000006"/>
    <n v="2849967.86"/>
    <s v="Credit Card"/>
    <x v="5"/>
    <n v="3"/>
    <n v="0.22744246917521246"/>
  </r>
  <r>
    <s v="ORD-00454"/>
    <d v="2023-12-11T00:00:00"/>
    <d v="2023-12-17T00:00:00"/>
    <s v="CUST-0081"/>
    <s v="Aldi Siregar"/>
    <s v="Consumer"/>
    <s v="Denpasar"/>
    <s v="Bali"/>
    <x v="2"/>
    <x v="1"/>
    <s v="Chair"/>
    <s v="PROD-0956"/>
    <x v="6"/>
    <n v="1"/>
    <n v="698100"/>
    <n v="0.1"/>
    <n v="628290"/>
    <n v="446291.21"/>
    <n v="181998.79"/>
    <s v="Bank Transfer"/>
    <x v="4"/>
    <n v="6"/>
    <n v="0.2896732241480845"/>
  </r>
  <r>
    <s v="ORD-00455"/>
    <d v="2025-09-24T00:00:00"/>
    <d v="2025-09-25T00:00:00"/>
    <s v="CUST-0106"/>
    <s v="Eka Ramadhan"/>
    <s v="Corporate"/>
    <s v="Bandung"/>
    <s v="Jawa Barat"/>
    <x v="1"/>
    <x v="2"/>
    <s v="Smartphone"/>
    <s v="PROD-2176"/>
    <x v="17"/>
    <n v="2"/>
    <n v="3448400"/>
    <n v="0.15"/>
    <n v="5862280"/>
    <n v="5451265.2300000004"/>
    <n v="411014.77"/>
    <s v="E-Wallet"/>
    <x v="32"/>
    <n v="1"/>
    <n v="7.0111760270747905E-2"/>
  </r>
  <r>
    <s v="ORD-00456"/>
    <d v="2024-07-08T00:00:00"/>
    <d v="2024-07-13T00:00:00"/>
    <s v="CUST-0155"/>
    <s v="Lina Hidayat"/>
    <s v="Corporate"/>
    <s v="Bogor"/>
    <s v="Jawa Barat"/>
    <x v="1"/>
    <x v="1"/>
    <s v="Chair"/>
    <s v="PROD-0956"/>
    <x v="6"/>
    <n v="3"/>
    <n v="687600"/>
    <n v="0.1"/>
    <n v="1856520"/>
    <n v="1269289.03"/>
    <n v="587230.97"/>
    <s v="Bank Transfer"/>
    <x v="29"/>
    <n v="5"/>
    <n v="0.31630737616616034"/>
  </r>
  <r>
    <s v="ORD-00457"/>
    <d v="2023-01-10T00:00:00"/>
    <d v="2023-01-15T00:00:00"/>
    <s v="CUST-0107"/>
    <s v="Indra Pratama"/>
    <s v="Small Business"/>
    <s v="Medan"/>
    <s v="Sumatera Utara"/>
    <x v="1"/>
    <x v="2"/>
    <s v="Laptop"/>
    <s v="PROD-8448"/>
    <x v="12"/>
    <n v="5"/>
    <n v="6814300"/>
    <n v="0.05"/>
    <n v="32367925"/>
    <n v="27539259.710000001"/>
    <n v="4828665.29"/>
    <s v="E-Wallet"/>
    <x v="11"/>
    <n v="5"/>
    <n v="0.14918056347448902"/>
  </r>
  <r>
    <s v="ORD-00458"/>
    <d v="2024-02-01T00:00:00"/>
    <d v="2024-02-02T00:00:00"/>
    <s v="CUST-0233"/>
    <s v="Bima Santoso"/>
    <s v="Consumer"/>
    <s v="Denpasar"/>
    <s v="Bali"/>
    <x v="2"/>
    <x v="0"/>
    <s v="Stationery"/>
    <s v="PROD-5388"/>
    <x v="18"/>
    <n v="1"/>
    <n v="112700"/>
    <n v="0"/>
    <n v="112700"/>
    <n v="63126.36"/>
    <n v="49573.64"/>
    <s v="Bank Transfer"/>
    <x v="10"/>
    <n v="1"/>
    <n v="0.4398725820763088"/>
  </r>
  <r>
    <s v="ORD-00459"/>
    <d v="2023-04-18T00:00:00"/>
    <d v="2023-04-23T00:00:00"/>
    <s v="CUST-0102"/>
    <s v="Farhan Ramadhan"/>
    <s v="Consumer"/>
    <s v="Denpasar"/>
    <s v="Bali"/>
    <x v="2"/>
    <x v="2"/>
    <s v="Laptop"/>
    <s v="PROD-7745"/>
    <x v="14"/>
    <n v="6"/>
    <n v="8681400"/>
    <n v="0.1"/>
    <n v="46879560"/>
    <n v="40319213.159999996"/>
    <n v="6560346.8399999999"/>
    <s v="Bank Transfer"/>
    <x v="14"/>
    <n v="5"/>
    <n v="0.13994045251277956"/>
  </r>
  <r>
    <s v="ORD-00460"/>
    <d v="2024-10-29T00:00:00"/>
    <d v="2024-10-31T00:00:00"/>
    <s v="CUST-0249"/>
    <s v="Bima Siregar"/>
    <s v="Consumer"/>
    <s v="Semarang"/>
    <s v="Jawa Tengah"/>
    <x v="0"/>
    <x v="0"/>
    <s v="Binder"/>
    <s v="PROD-7352"/>
    <x v="16"/>
    <n v="5"/>
    <n v="55000"/>
    <n v="0"/>
    <n v="275000"/>
    <n v="147386.59"/>
    <n v="127613.41"/>
    <s v="Cash"/>
    <x v="21"/>
    <n v="2"/>
    <n v="0.46404876363636366"/>
  </r>
  <r>
    <s v="ORD-00461"/>
    <d v="2025-06-11T00:00:00"/>
    <d v="2025-06-13T00:00:00"/>
    <s v="CUST-0172"/>
    <s v="Eka Pratama"/>
    <s v="Consumer"/>
    <s v="Bogor"/>
    <s v="Jawa Barat"/>
    <x v="1"/>
    <x v="2"/>
    <s v="Printer"/>
    <s v="PROD-5410"/>
    <x v="11"/>
    <n v="2"/>
    <n v="1366900"/>
    <n v="0.05"/>
    <n v="2597110"/>
    <n v="1938929.63"/>
    <n v="658180.37"/>
    <s v="Credit Card"/>
    <x v="7"/>
    <n v="2"/>
    <n v="0.25342799111319891"/>
  </r>
  <r>
    <s v="ORD-00462"/>
    <d v="2023-05-03T00:00:00"/>
    <d v="2023-05-06T00:00:00"/>
    <s v="CUST-0088"/>
    <s v="Toni Saputra"/>
    <s v="Consumer"/>
    <s v="Denpasar"/>
    <s v="Bali"/>
    <x v="2"/>
    <x v="2"/>
    <s v="Printer"/>
    <s v="PROD-5410"/>
    <x v="11"/>
    <n v="1"/>
    <n v="1399200"/>
    <n v="0"/>
    <n v="1399200"/>
    <n v="1061113.1499999999"/>
    <n v="338086.85"/>
    <s v="E-Wallet"/>
    <x v="22"/>
    <n v="3"/>
    <n v="0.24162868067467122"/>
  </r>
  <r>
    <s v="ORD-00463"/>
    <d v="2024-04-15T00:00:00"/>
    <d v="2024-04-16T00:00:00"/>
    <s v="CUST-0127"/>
    <s v="Hadi Permata"/>
    <s v="Small Business"/>
    <s v="Denpasar"/>
    <s v="Bali"/>
    <x v="2"/>
    <x v="1"/>
    <s v="Storage"/>
    <s v="PROD-7524"/>
    <x v="1"/>
    <n v="3"/>
    <n v="1062500"/>
    <n v="0"/>
    <n v="3187500"/>
    <n v="2264825.75"/>
    <n v="922674.25"/>
    <s v="Credit Card"/>
    <x v="1"/>
    <n v="1"/>
    <n v="0.28946643137254902"/>
  </r>
  <r>
    <s v="ORD-00464"/>
    <d v="2025-06-08T00:00:00"/>
    <d v="2025-06-13T00:00:00"/>
    <s v="CUST-0018"/>
    <s v="Nadia Saputra"/>
    <s v="Small Business"/>
    <s v="Makassar"/>
    <s v="Sulawesi Selatan"/>
    <x v="2"/>
    <x v="2"/>
    <s v="Smartphone"/>
    <s v="PROD-2176"/>
    <x v="17"/>
    <n v="10"/>
    <n v="2908200"/>
    <n v="0.05"/>
    <n v="27627900"/>
    <n v="23205641.969999999"/>
    <n v="4422258.03"/>
    <s v="Cash"/>
    <x v="7"/>
    <n v="5"/>
    <n v="0.16006493544569078"/>
  </r>
  <r>
    <s v="ORD-00465"/>
    <d v="2025-03-18T00:00:00"/>
    <d v="2025-03-22T00:00:00"/>
    <s v="CUST-0068"/>
    <s v="Lina Lestari"/>
    <s v="Consumer"/>
    <s v="Denpasar"/>
    <s v="Bali"/>
    <x v="2"/>
    <x v="0"/>
    <s v="Paper"/>
    <s v="PROD-9601"/>
    <x v="9"/>
    <n v="3"/>
    <n v="68600"/>
    <n v="0.15"/>
    <n v="174930"/>
    <n v="128136.23"/>
    <n v="46793.77"/>
    <s v="Bank Transfer"/>
    <x v="20"/>
    <n v="4"/>
    <n v="0.26749997141713827"/>
  </r>
  <r>
    <s v="ORD-00466"/>
    <d v="2024-05-04T00:00:00"/>
    <d v="2024-05-10T00:00:00"/>
    <s v="CUST-0233"/>
    <s v="Oki Utami"/>
    <s v="Corporate"/>
    <s v="Denpasar"/>
    <s v="Bali"/>
    <x v="2"/>
    <x v="0"/>
    <s v="Paper"/>
    <s v="PROD-7955"/>
    <x v="8"/>
    <n v="3"/>
    <n v="63100"/>
    <n v="0.15"/>
    <n v="160905"/>
    <n v="99239.69"/>
    <n v="61665.31"/>
    <s v="Credit Card"/>
    <x v="15"/>
    <n v="6"/>
    <n v="0.38324048351511758"/>
  </r>
  <r>
    <s v="ORD-00467"/>
    <d v="2023-10-11T00:00:00"/>
    <d v="2023-10-18T00:00:00"/>
    <s v="CUST-0017"/>
    <s v="Joko Hidayat"/>
    <s v="Corporate"/>
    <s v="Surabaya"/>
    <s v="Jawa Timur"/>
    <x v="2"/>
    <x v="0"/>
    <s v="Writing"/>
    <s v="PROD-7527"/>
    <x v="5"/>
    <n v="5"/>
    <n v="41200"/>
    <n v="0.2"/>
    <n v="164800"/>
    <n v="106399.92"/>
    <n v="58400.08"/>
    <s v="Bank Transfer"/>
    <x v="30"/>
    <n v="7"/>
    <n v="0.35436941747572814"/>
  </r>
  <r>
    <s v="ORD-00468"/>
    <d v="2024-07-06T00:00:00"/>
    <d v="2024-07-12T00:00:00"/>
    <s v="CUST-0027"/>
    <s v="Dewi Hidayat"/>
    <s v="Corporate"/>
    <s v="Bandung"/>
    <s v="Jawa Barat"/>
    <x v="1"/>
    <x v="0"/>
    <s v="Writing"/>
    <s v="PROD-7529"/>
    <x v="0"/>
    <n v="4"/>
    <n v="62000"/>
    <n v="0.25"/>
    <n v="186000"/>
    <n v="138969.44"/>
    <n v="47030.559999999998"/>
    <s v="E-Wallet"/>
    <x v="29"/>
    <n v="6"/>
    <n v="0.25285247311827957"/>
  </r>
  <r>
    <s v="ORD-00469"/>
    <d v="2025-01-18T00:00:00"/>
    <d v="2025-01-22T00:00:00"/>
    <s v="CUST-0059"/>
    <s v="Wulan Kusuma"/>
    <s v="Consumer"/>
    <s v="Surabaya"/>
    <s v="Jawa Timur"/>
    <x v="2"/>
    <x v="1"/>
    <s v="Desk"/>
    <s v="PROD-6903"/>
    <x v="13"/>
    <n v="3"/>
    <n v="1337700"/>
    <n v="0"/>
    <n v="4013100"/>
    <n v="2671409.81"/>
    <n v="1341690.19"/>
    <s v="Bank Transfer"/>
    <x v="17"/>
    <n v="4"/>
    <n v="0.33432762452966536"/>
  </r>
  <r>
    <s v="ORD-00470"/>
    <d v="2024-03-05T00:00:00"/>
    <d v="2024-03-12T00:00:00"/>
    <s v="CUST-0232"/>
    <s v="Putri Saputra"/>
    <s v="Consumer"/>
    <s v="Surabaya"/>
    <s v="Jawa Timur"/>
    <x v="2"/>
    <x v="0"/>
    <s v="Writing"/>
    <s v="PROD-7529"/>
    <x v="0"/>
    <n v="2"/>
    <n v="67500"/>
    <n v="0"/>
    <n v="135000"/>
    <n v="72788.160000000003"/>
    <n v="62211.839999999997"/>
    <s v="E-Wallet"/>
    <x v="18"/>
    <n v="7"/>
    <n v="0.46082844444444443"/>
  </r>
  <r>
    <s v="ORD-00471"/>
    <d v="2025-12-14T00:00:00"/>
    <d v="2025-12-21T00:00:00"/>
    <s v="CUST-0092"/>
    <s v="Joko Santoso"/>
    <s v="Corporate"/>
    <s v="Denpasar"/>
    <s v="Bali"/>
    <x v="2"/>
    <x v="2"/>
    <s v="Accessories"/>
    <s v="PROD-3744"/>
    <x v="4"/>
    <n v="1"/>
    <n v="136800"/>
    <n v="0"/>
    <n v="136800"/>
    <n v="79406.58"/>
    <n v="57393.42"/>
    <s v="Bank Transfer"/>
    <x v="25"/>
    <n v="7"/>
    <n v="0.41954254385964912"/>
  </r>
  <r>
    <s v="ORD-00472"/>
    <d v="2023-08-12T00:00:00"/>
    <d v="2023-08-14T00:00:00"/>
    <s v="CUST-0068"/>
    <s v="Putri Permata"/>
    <s v="Consumer"/>
    <s v="Denpasar"/>
    <s v="Bali"/>
    <x v="2"/>
    <x v="2"/>
    <s v="Smartphone"/>
    <s v="PROD-2176"/>
    <x v="17"/>
    <n v="2"/>
    <n v="3321600"/>
    <n v="0"/>
    <n v="6643200"/>
    <n v="5432768.9100000001"/>
    <n v="1210431.0900000001"/>
    <s v="Credit Card"/>
    <x v="0"/>
    <n v="2"/>
    <n v="0.18220602872109828"/>
  </r>
  <r>
    <s v="ORD-00473"/>
    <d v="2025-05-10T00:00:00"/>
    <d v="2025-05-14T00:00:00"/>
    <s v="CUST-0211"/>
    <s v="Toni Permata"/>
    <s v="Consumer"/>
    <s v="Yogyakarta"/>
    <s v="DI Yogyakarta"/>
    <x v="0"/>
    <x v="0"/>
    <s v="Paper"/>
    <s v="PROD-7955"/>
    <x v="8"/>
    <n v="5"/>
    <n v="55200"/>
    <n v="0.25"/>
    <n v="207000"/>
    <n v="156931.96"/>
    <n v="50068.04"/>
    <s v="Bank Transfer"/>
    <x v="6"/>
    <n v="4"/>
    <n v="0.24187458937198067"/>
  </r>
  <r>
    <s v="ORD-00474"/>
    <d v="2024-10-30T00:00:00"/>
    <d v="2024-11-03T00:00:00"/>
    <s v="CUST-0134"/>
    <s v="Hadi Kusuma"/>
    <s v="Small Business"/>
    <s v="Medan"/>
    <s v="Sumatera Utara"/>
    <x v="1"/>
    <x v="1"/>
    <s v="Storage"/>
    <s v="PROD-2602"/>
    <x v="3"/>
    <n v="2"/>
    <n v="891600"/>
    <n v="0.2"/>
    <n v="1426560"/>
    <n v="1147308.79"/>
    <n v="279251.21000000002"/>
    <s v="Cash"/>
    <x v="21"/>
    <n v="4"/>
    <n v="0.19575146506280844"/>
  </r>
  <r>
    <s v="ORD-00475"/>
    <d v="2025-01-31T00:00:00"/>
    <d v="2025-02-03T00:00:00"/>
    <s v="CUST-0094"/>
    <s v="Fajar Nugroho"/>
    <s v="Consumer"/>
    <s v="Bogor"/>
    <s v="Jawa Barat"/>
    <x v="1"/>
    <x v="0"/>
    <s v="Paper"/>
    <s v="PROD-7955"/>
    <x v="8"/>
    <n v="8"/>
    <n v="60100"/>
    <n v="0"/>
    <n v="480800"/>
    <n v="269620.69"/>
    <n v="211179.31"/>
    <s v="Cash"/>
    <x v="17"/>
    <n v="3"/>
    <n v="0.4392248544093178"/>
  </r>
  <r>
    <s v="ORD-00476"/>
    <d v="2023-11-11T00:00:00"/>
    <d v="2023-11-13T00:00:00"/>
    <s v="CUST-0163"/>
    <s v="Lina Wijaya"/>
    <s v="Corporate"/>
    <s v="Surabaya"/>
    <s v="Jawa Timur"/>
    <x v="2"/>
    <x v="2"/>
    <s v="Laptop"/>
    <s v="PROD-7745"/>
    <x v="14"/>
    <n v="1"/>
    <n v="7712800"/>
    <n v="0.1"/>
    <n v="6941520"/>
    <n v="5742314.3700000001"/>
    <n v="1199205.6299999999"/>
    <s v="Cash"/>
    <x v="8"/>
    <n v="2"/>
    <n v="0.17275836272170936"/>
  </r>
  <r>
    <s v="ORD-00477"/>
    <d v="2025-02-02T00:00:00"/>
    <d v="2025-02-06T00:00:00"/>
    <s v="CUST-0164"/>
    <s v="Eka Pratama"/>
    <s v="Consumer"/>
    <s v="Medan"/>
    <s v="Sumatera Utara"/>
    <x v="1"/>
    <x v="1"/>
    <s v="Chair"/>
    <s v="PROD-0956"/>
    <x v="6"/>
    <n v="2"/>
    <n v="656400"/>
    <n v="0"/>
    <n v="1312800"/>
    <n v="848211.88"/>
    <n v="464588.12"/>
    <s v="Bank Transfer"/>
    <x v="3"/>
    <n v="4"/>
    <n v="0.35389101157830588"/>
  </r>
  <r>
    <s v="ORD-00478"/>
    <d v="2025-11-05T00:00:00"/>
    <d v="2025-11-08T00:00:00"/>
    <s v="CUST-0058"/>
    <s v="Farhan Kusuma"/>
    <s v="Small Business"/>
    <s v="Denpasar"/>
    <s v="Bali"/>
    <x v="2"/>
    <x v="0"/>
    <s v="Binder"/>
    <s v="PROD-9396"/>
    <x v="21"/>
    <n v="4"/>
    <n v="40300"/>
    <n v="0.25"/>
    <n v="120900"/>
    <n v="80118.740000000005"/>
    <n v="40781.26"/>
    <s v="Credit Card"/>
    <x v="34"/>
    <n v="3"/>
    <n v="0.33731397849462369"/>
  </r>
  <r>
    <s v="ORD-00479"/>
    <d v="2023-03-24T00:00:00"/>
    <d v="2023-03-26T00:00:00"/>
    <s v="CUST-0114"/>
    <s v="Rizky Siregar"/>
    <s v="Consumer"/>
    <s v="Yogyakarta"/>
    <s v="DI Yogyakarta"/>
    <x v="0"/>
    <x v="0"/>
    <s v="Paper"/>
    <s v="PROD-9601"/>
    <x v="9"/>
    <n v="2"/>
    <n v="69900"/>
    <n v="0"/>
    <n v="139800"/>
    <n v="83789.83"/>
    <n v="56010.17"/>
    <s v="Credit Card"/>
    <x v="24"/>
    <n v="2"/>
    <n v="0.40064499284692418"/>
  </r>
  <r>
    <s v="ORD-00480"/>
    <d v="2024-07-23T00:00:00"/>
    <d v="2024-07-25T00:00:00"/>
    <s v="CUST-0185"/>
    <s v="Maya Wijaya"/>
    <s v="Small Business"/>
    <s v="Bandung"/>
    <s v="Jawa Barat"/>
    <x v="1"/>
    <x v="2"/>
    <s v="Printer"/>
    <s v="PROD-5410"/>
    <x v="11"/>
    <n v="1"/>
    <n v="1406400"/>
    <n v="0.1"/>
    <n v="1265760"/>
    <n v="1086166.1599999999"/>
    <n v="179593.84"/>
    <s v="Cash"/>
    <x v="29"/>
    <n v="2"/>
    <n v="0.14188617115408925"/>
  </r>
  <r>
    <s v="ORD-00481"/>
    <d v="2025-05-25T00:00:00"/>
    <d v="2025-05-28T00:00:00"/>
    <s v="CUST-0228"/>
    <s v="Farhan Hidayat"/>
    <s v="Consumer"/>
    <s v="Yogyakarta"/>
    <s v="DI Yogyakarta"/>
    <x v="0"/>
    <x v="1"/>
    <s v="Chair"/>
    <s v="PROD-9951"/>
    <x v="19"/>
    <n v="10"/>
    <n v="1911600"/>
    <n v="0"/>
    <n v="19116000"/>
    <n v="13179522.720000001"/>
    <n v="5936477.2800000003"/>
    <s v="E-Wallet"/>
    <x v="6"/>
    <n v="3"/>
    <n v="0.31055018204645324"/>
  </r>
  <r>
    <s v="ORD-00482"/>
    <d v="2025-06-25T00:00:00"/>
    <d v="2025-06-28T00:00:00"/>
    <s v="CUST-0172"/>
    <s v="Citra Siregar"/>
    <s v="Consumer"/>
    <s v="Malang"/>
    <s v="Jawa Timur"/>
    <x v="2"/>
    <x v="2"/>
    <s v="Accessories"/>
    <s v="PROD-1626"/>
    <x v="20"/>
    <n v="1"/>
    <n v="222300"/>
    <n v="0.3"/>
    <n v="155610"/>
    <n v="135819.4"/>
    <n v="19790.599999999999"/>
    <s v="Bank Transfer"/>
    <x v="7"/>
    <n v="3"/>
    <n v="0.12718077244393033"/>
  </r>
  <r>
    <s v="ORD-00483"/>
    <d v="2025-02-08T00:00:00"/>
    <d v="2025-02-09T00:00:00"/>
    <s v="CUST-0196"/>
    <s v="Joko Saputra"/>
    <s v="Consumer"/>
    <s v="Malang"/>
    <s v="Jawa Timur"/>
    <x v="2"/>
    <x v="2"/>
    <s v="Accessories"/>
    <s v="PROD-3744"/>
    <x v="4"/>
    <n v="4"/>
    <n v="133300"/>
    <n v="0"/>
    <n v="533200"/>
    <n v="301271.27"/>
    <n v="231928.73"/>
    <s v="Cash"/>
    <x v="3"/>
    <n v="1"/>
    <n v="0.43497511252813204"/>
  </r>
  <r>
    <s v="ORD-00484"/>
    <d v="2025-10-01T00:00:00"/>
    <d v="2025-10-02T00:00:00"/>
    <s v="CUST-0242"/>
    <s v="Dewi Ramadhan"/>
    <s v="Consumer"/>
    <s v="Makassar"/>
    <s v="Sulawesi Selatan"/>
    <x v="2"/>
    <x v="0"/>
    <s v="Binder"/>
    <s v="PROD-9396"/>
    <x v="21"/>
    <n v="1"/>
    <n v="40800"/>
    <n v="0"/>
    <n v="40800"/>
    <n v="20176.05"/>
    <n v="20623.95"/>
    <s v="Cash"/>
    <x v="27"/>
    <n v="1"/>
    <n v="0.50548897058823528"/>
  </r>
  <r>
    <s v="ORD-00485"/>
    <d v="2024-08-12T00:00:00"/>
    <d v="2024-08-16T00:00:00"/>
    <s v="CUST-0247"/>
    <s v="Toni Hidayat"/>
    <s v="Consumer"/>
    <s v="Jakarta"/>
    <s v="DKI Jakarta"/>
    <x v="1"/>
    <x v="2"/>
    <s v="Smartphone"/>
    <s v="PROD-6076"/>
    <x v="15"/>
    <n v="2"/>
    <n v="5233600"/>
    <n v="0.1"/>
    <n v="9420480"/>
    <n v="7827074.3899999997"/>
    <n v="1593405.61"/>
    <s v="E-Wallet"/>
    <x v="28"/>
    <n v="4"/>
    <n v="0.16914271990386903"/>
  </r>
  <r>
    <s v="ORD-00486"/>
    <d v="2024-06-12T00:00:00"/>
    <d v="2024-06-18T00:00:00"/>
    <s v="CUST-0070"/>
    <s v="Lina Wijaya"/>
    <s v="Consumer"/>
    <s v="Surabaya"/>
    <s v="Jawa Timur"/>
    <x v="2"/>
    <x v="0"/>
    <s v="Paper"/>
    <s v="PROD-9601"/>
    <x v="9"/>
    <n v="5"/>
    <n v="71100"/>
    <n v="0"/>
    <n v="355500"/>
    <n v="204449.46"/>
    <n v="151050.54"/>
    <s v="Bank Transfer"/>
    <x v="35"/>
    <n v="6"/>
    <n v="0.42489603375527429"/>
  </r>
  <r>
    <s v="ORD-00487"/>
    <d v="2023-04-19T00:00:00"/>
    <d v="2023-04-22T00:00:00"/>
    <s v="CUST-0094"/>
    <s v="Nabila Santoso"/>
    <s v="Consumer"/>
    <s v="Surabaya"/>
    <s v="Jawa Timur"/>
    <x v="2"/>
    <x v="1"/>
    <s v="Storage"/>
    <s v="PROD-2602"/>
    <x v="3"/>
    <n v="2"/>
    <n v="962200"/>
    <n v="0.05"/>
    <n v="1828180"/>
    <n v="1312949.58"/>
    <n v="515230.42"/>
    <s v="E-Wallet"/>
    <x v="14"/>
    <n v="3"/>
    <n v="0.28182696452209299"/>
  </r>
  <r>
    <s v="ORD-00488"/>
    <d v="2023-12-09T00:00:00"/>
    <d v="2023-12-14T00:00:00"/>
    <s v="CUST-0145"/>
    <s v="Lina Utami"/>
    <s v="Consumer"/>
    <s v="Yogyakarta"/>
    <s v="DI Yogyakarta"/>
    <x v="0"/>
    <x v="2"/>
    <s v="Accessories"/>
    <s v="PROD-4943"/>
    <x v="2"/>
    <n v="1"/>
    <n v="498400"/>
    <n v="0.2"/>
    <n v="398720"/>
    <n v="294075.71000000002"/>
    <n v="104644.29"/>
    <s v="E-Wallet"/>
    <x v="4"/>
    <n v="5"/>
    <n v="0.26245056681380413"/>
  </r>
  <r>
    <s v="ORD-00489"/>
    <d v="2025-09-20T00:00:00"/>
    <d v="2025-09-24T00:00:00"/>
    <s v="CUST-0059"/>
    <s v="Nadia Kusuma"/>
    <s v="Consumer"/>
    <s v="Bandung"/>
    <s v="Jawa Barat"/>
    <x v="1"/>
    <x v="1"/>
    <s v="Chair"/>
    <s v="PROD-0956"/>
    <x v="6"/>
    <n v="5"/>
    <n v="698700"/>
    <n v="0.1"/>
    <n v="3144150"/>
    <n v="2324501.94"/>
    <n v="819648.06"/>
    <s v="Credit Card"/>
    <x v="32"/>
    <n v="4"/>
    <n v="0.26068987166642815"/>
  </r>
  <r>
    <s v="ORD-00490"/>
    <d v="2023-06-06T00:00:00"/>
    <d v="2023-06-07T00:00:00"/>
    <s v="CUST-0176"/>
    <s v="Fajar Mahendra"/>
    <s v="Consumer"/>
    <s v="Denpasar"/>
    <s v="Bali"/>
    <x v="2"/>
    <x v="0"/>
    <s v="Paper"/>
    <s v="PROD-7955"/>
    <x v="8"/>
    <n v="1"/>
    <n v="57800"/>
    <n v="0.3"/>
    <n v="40460"/>
    <n v="32362.400000000001"/>
    <n v="8097.6"/>
    <s v="E-Wallet"/>
    <x v="9"/>
    <n v="1"/>
    <n v="0.20013840830449828"/>
  </r>
  <r>
    <s v="ORD-00491"/>
    <d v="2024-09-15T00:00:00"/>
    <d v="2024-09-16T00:00:00"/>
    <s v="CUST-0218"/>
    <s v="Zahra Utami"/>
    <s v="Consumer"/>
    <s v="Semarang"/>
    <s v="Jawa Tengah"/>
    <x v="0"/>
    <x v="0"/>
    <s v="Paper"/>
    <s v="PROD-9601"/>
    <x v="9"/>
    <n v="3"/>
    <n v="73500"/>
    <n v="0"/>
    <n v="220500"/>
    <n v="137807.13"/>
    <n v="82692.87"/>
    <s v="Credit Card"/>
    <x v="16"/>
    <n v="1"/>
    <n v="0.37502435374149656"/>
  </r>
  <r>
    <s v="ORD-00492"/>
    <d v="2023-08-17T00:00:00"/>
    <d v="2023-08-18T00:00:00"/>
    <s v="CUST-0130"/>
    <s v="Bima Santoso"/>
    <s v="Consumer"/>
    <s v="Malang"/>
    <s v="Jawa Timur"/>
    <x v="2"/>
    <x v="2"/>
    <s v="Printer"/>
    <s v="PROD-5410"/>
    <x v="11"/>
    <n v="1"/>
    <n v="1515500"/>
    <n v="0.1"/>
    <n v="1363950"/>
    <n v="1103141.71"/>
    <n v="260808.29"/>
    <s v="Bank Transfer"/>
    <x v="0"/>
    <n v="1"/>
    <n v="0.19121543311704975"/>
  </r>
  <r>
    <s v="ORD-00493"/>
    <d v="2024-09-09T00:00:00"/>
    <d v="2024-09-15T00:00:00"/>
    <s v="CUST-0075"/>
    <s v="Bayu Mahendra"/>
    <s v="Small Business"/>
    <s v="Bandung"/>
    <s v="Jawa Barat"/>
    <x v="1"/>
    <x v="2"/>
    <s v="Laptop"/>
    <s v="PROD-8448"/>
    <x v="12"/>
    <n v="3"/>
    <n v="5758400"/>
    <n v="0.1"/>
    <n v="15547680"/>
    <n v="13181719.539999999"/>
    <n v="2365960.46"/>
    <s v="Credit Card"/>
    <x v="16"/>
    <n v="6"/>
    <n v="0.15217450191925741"/>
  </r>
  <r>
    <s v="ORD-00494"/>
    <d v="2024-07-22T00:00:00"/>
    <d v="2024-07-27T00:00:00"/>
    <s v="CUST-0112"/>
    <s v="Zahra Putra"/>
    <s v="Corporate"/>
    <s v="Medan"/>
    <s v="Sumatera Utara"/>
    <x v="1"/>
    <x v="1"/>
    <s v="Chair"/>
    <s v="PROD-0956"/>
    <x v="6"/>
    <n v="2"/>
    <n v="594800"/>
    <n v="0.15"/>
    <n v="1011160"/>
    <n v="798818.66"/>
    <n v="212341.34"/>
    <s v="Credit Card"/>
    <x v="29"/>
    <n v="5"/>
    <n v="0.20999776494323352"/>
  </r>
  <r>
    <s v="ORD-00495"/>
    <d v="2024-07-31T00:00:00"/>
    <d v="2024-08-02T00:00:00"/>
    <s v="CUST-0093"/>
    <s v="Anisa Permata"/>
    <s v="Small Business"/>
    <s v="Bandung"/>
    <s v="Jawa Barat"/>
    <x v="1"/>
    <x v="0"/>
    <s v="Paper"/>
    <s v="PROD-7955"/>
    <x v="8"/>
    <n v="2"/>
    <n v="59700"/>
    <n v="0.05"/>
    <n v="113430"/>
    <n v="70562.89"/>
    <n v="42867.11"/>
    <s v="Cash"/>
    <x v="29"/>
    <n v="2"/>
    <n v="0.37791686502688882"/>
  </r>
  <r>
    <s v="ORD-00496"/>
    <d v="2025-02-16T00:00:00"/>
    <d v="2025-02-20T00:00:00"/>
    <s v="CUST-0148"/>
    <s v="Sari Mahendra"/>
    <s v="Consumer"/>
    <s v="Malang"/>
    <s v="Jawa Timur"/>
    <x v="2"/>
    <x v="2"/>
    <s v="Smartphone"/>
    <s v="PROD-6076"/>
    <x v="15"/>
    <n v="1"/>
    <n v="4344100"/>
    <n v="0"/>
    <n v="4344100"/>
    <n v="3418032.08"/>
    <n v="926067.92"/>
    <s v="E-Wallet"/>
    <x v="3"/>
    <n v="4"/>
    <n v="0.2131783154163118"/>
  </r>
  <r>
    <s v="ORD-00497"/>
    <d v="2023-03-25T00:00:00"/>
    <d v="2023-03-26T00:00:00"/>
    <s v="CUST-0220"/>
    <s v="Gita Nugroho"/>
    <s v="Consumer"/>
    <s v="Malang"/>
    <s v="Jawa Timur"/>
    <x v="2"/>
    <x v="2"/>
    <s v="Laptop"/>
    <s v="PROD-8448"/>
    <x v="12"/>
    <n v="3"/>
    <n v="6618700"/>
    <n v="0"/>
    <n v="19856100"/>
    <n v="15931687.800000001"/>
    <n v="3924412.2"/>
    <s v="E-Wallet"/>
    <x v="24"/>
    <n v="1"/>
    <n v="0.19764264885853719"/>
  </r>
  <r>
    <s v="ORD-00498"/>
    <d v="2023-05-23T00:00:00"/>
    <d v="2023-05-30T00:00:00"/>
    <s v="CUST-0062"/>
    <s v="Eka Hidayat"/>
    <s v="Consumer"/>
    <s v="Bogor"/>
    <s v="Jawa Barat"/>
    <x v="1"/>
    <x v="0"/>
    <s v="Binder"/>
    <s v="PROD-7352"/>
    <x v="16"/>
    <n v="3"/>
    <n v="55300"/>
    <n v="0.1"/>
    <n v="149310"/>
    <n v="91263.6"/>
    <n v="58046.400000000001"/>
    <s v="Cash"/>
    <x v="22"/>
    <n v="7"/>
    <n v="0.38876431585292348"/>
  </r>
  <r>
    <s v="ORD-00499"/>
    <d v="2025-03-31T00:00:00"/>
    <d v="2025-04-06T00:00:00"/>
    <s v="CUST-0218"/>
    <s v="Farhan Kusuma"/>
    <s v="Consumer"/>
    <s v="Bogor"/>
    <s v="Jawa Barat"/>
    <x v="1"/>
    <x v="1"/>
    <s v="Chair"/>
    <s v="PROD-9951"/>
    <x v="19"/>
    <n v="2"/>
    <n v="1804100"/>
    <n v="0.3"/>
    <n v="2525740"/>
    <n v="2300346.5499999998"/>
    <n v="225393.45"/>
    <s v="Credit Card"/>
    <x v="20"/>
    <n v="6"/>
    <n v="8.9238579584596994E-2"/>
  </r>
  <r>
    <s v="ORD-00500"/>
    <d v="2024-07-24T00:00:00"/>
    <d v="2024-07-31T00:00:00"/>
    <s v="CUST-0063"/>
    <s v="Indra Kusuma"/>
    <s v="Consumer"/>
    <s v="Malang"/>
    <s v="Jawa Timur"/>
    <x v="2"/>
    <x v="0"/>
    <s v="Binder"/>
    <s v="PROD-9396"/>
    <x v="21"/>
    <n v="10"/>
    <n v="38500"/>
    <n v="0"/>
    <n v="385000"/>
    <n v="194252.23"/>
    <n v="190747.77"/>
    <s v="Cash"/>
    <x v="29"/>
    <n v="7"/>
    <n v="0.49544875324675319"/>
  </r>
  <r>
    <s v="ORD-00501"/>
    <d v="2025-10-15T00:00:00"/>
    <d v="2025-10-17T00:00:00"/>
    <s v="CUST-0168"/>
    <s v="Eka Lestari"/>
    <s v="Consumer"/>
    <s v="Jakarta"/>
    <s v="DKI Jakarta"/>
    <x v="1"/>
    <x v="0"/>
    <s v="Writing"/>
    <s v="PROD-7527"/>
    <x v="5"/>
    <n v="5"/>
    <n v="45400"/>
    <n v="0"/>
    <n v="227000"/>
    <n v="114886.26"/>
    <n v="112113.74"/>
    <s v="Bank Transfer"/>
    <x v="27"/>
    <n v="2"/>
    <n v="0.49389312775330396"/>
  </r>
  <r>
    <s v="ORD-00502"/>
    <d v="2023-07-17T00:00:00"/>
    <d v="2023-07-24T00:00:00"/>
    <s v="CUST-0010"/>
    <s v="Nabila Pratama"/>
    <s v="Consumer"/>
    <s v="Denpasar"/>
    <s v="Bali"/>
    <x v="2"/>
    <x v="2"/>
    <s v="Printer"/>
    <s v="PROD-5410"/>
    <x v="11"/>
    <n v="2"/>
    <n v="1388500"/>
    <n v="0.05"/>
    <n v="2638150"/>
    <n v="2122920.2200000002"/>
    <n v="515229.78"/>
    <s v="Cash"/>
    <x v="13"/>
    <n v="7"/>
    <n v="0.19529965316604439"/>
  </r>
  <r>
    <s v="ORD-00503"/>
    <d v="2025-05-31T00:00:00"/>
    <d v="2025-06-01T00:00:00"/>
    <s v="CUST-0085"/>
    <s v="Putri Hidayat"/>
    <s v="Consumer"/>
    <s v="Malang"/>
    <s v="Jawa Timur"/>
    <x v="2"/>
    <x v="1"/>
    <s v="Desk"/>
    <s v="PROD-6903"/>
    <x v="13"/>
    <n v="1"/>
    <n v="1278100"/>
    <n v="0.2"/>
    <n v="1022480"/>
    <n v="847246.33"/>
    <n v="175233.67"/>
    <s v="Bank Transfer"/>
    <x v="6"/>
    <n v="1"/>
    <n v="0.17138102456771773"/>
  </r>
  <r>
    <s v="ORD-00504"/>
    <d v="2023-10-03T00:00:00"/>
    <d v="2023-10-06T00:00:00"/>
    <s v="CUST-0081"/>
    <s v="Raka Pratama"/>
    <s v="Corporate"/>
    <s v="Bandung"/>
    <s v="Jawa Barat"/>
    <x v="1"/>
    <x v="0"/>
    <s v="Stationery"/>
    <s v="PROD-5388"/>
    <x v="18"/>
    <n v="3"/>
    <n v="120800"/>
    <n v="0.1"/>
    <n v="326160"/>
    <n v="209019.64"/>
    <n v="117140.36"/>
    <s v="Cash"/>
    <x v="30"/>
    <n v="3"/>
    <n v="0.35914998773608048"/>
  </r>
  <r>
    <s v="ORD-00505"/>
    <d v="2025-03-12T00:00:00"/>
    <d v="2025-03-15T00:00:00"/>
    <s v="CUST-0179"/>
    <s v="Rizky Mahendra"/>
    <s v="Corporate"/>
    <s v="Makassar"/>
    <s v="Sulawesi Selatan"/>
    <x v="2"/>
    <x v="1"/>
    <s v="Desk"/>
    <s v="PROD-4040"/>
    <x v="7"/>
    <n v="2"/>
    <n v="2854500"/>
    <n v="0"/>
    <n v="5709000"/>
    <n v="4231288.1900000004"/>
    <n v="1477711.81"/>
    <s v="E-Wallet"/>
    <x v="20"/>
    <n v="3"/>
    <n v="0.25883899281835698"/>
  </r>
  <r>
    <s v="ORD-00506"/>
    <d v="2023-02-25T00:00:00"/>
    <d v="2023-03-04T00:00:00"/>
    <s v="CUST-0121"/>
    <s v="Wulan Lestari"/>
    <s v="Consumer"/>
    <s v="Malang"/>
    <s v="Jawa Timur"/>
    <x v="2"/>
    <x v="0"/>
    <s v="Binder"/>
    <s v="PROD-7352"/>
    <x v="16"/>
    <n v="10"/>
    <n v="55500"/>
    <n v="0"/>
    <n v="555000"/>
    <n v="288781.69"/>
    <n v="266218.31"/>
    <s v="E-Wallet"/>
    <x v="31"/>
    <n v="7"/>
    <n v="0.47967263063063065"/>
  </r>
  <r>
    <s v="ORD-00507"/>
    <d v="2023-06-23T00:00:00"/>
    <d v="2023-06-29T00:00:00"/>
    <s v="CUST-0216"/>
    <s v="Indra Pratama"/>
    <s v="Consumer"/>
    <s v="Bandung"/>
    <s v="Jawa Barat"/>
    <x v="1"/>
    <x v="2"/>
    <s v="Accessories"/>
    <s v="PROD-3744"/>
    <x v="4"/>
    <n v="2"/>
    <n v="113500"/>
    <n v="0.1"/>
    <n v="204300"/>
    <n v="132307.96"/>
    <n v="71992.039999999994"/>
    <s v="Bank Transfer"/>
    <x v="9"/>
    <n v="6"/>
    <n v="0.35238394517865879"/>
  </r>
  <r>
    <s v="ORD-00508"/>
    <d v="2025-08-19T00:00:00"/>
    <d v="2025-08-24T00:00:00"/>
    <s v="CUST-0173"/>
    <s v="Putri Saputra"/>
    <s v="Corporate"/>
    <s v="Malang"/>
    <s v="Jawa Timur"/>
    <x v="2"/>
    <x v="2"/>
    <s v="Accessories"/>
    <s v="PROD-4943"/>
    <x v="2"/>
    <n v="3"/>
    <n v="522700"/>
    <n v="0"/>
    <n v="1568100"/>
    <n v="1008937.45"/>
    <n v="559162.55000000005"/>
    <s v="E-Wallet"/>
    <x v="12"/>
    <n v="5"/>
    <n v="0.35658602767680636"/>
  </r>
  <r>
    <s v="ORD-00509"/>
    <d v="2024-11-26T00:00:00"/>
    <d v="2024-11-28T00:00:00"/>
    <s v="CUST-0206"/>
    <s v="Rizky Putra"/>
    <s v="Consumer"/>
    <s v="Malang"/>
    <s v="Jawa Timur"/>
    <x v="2"/>
    <x v="1"/>
    <s v="Desk"/>
    <s v="PROD-6903"/>
    <x v="13"/>
    <n v="5"/>
    <n v="1272400"/>
    <n v="0"/>
    <n v="6362000"/>
    <n v="4075751.56"/>
    <n v="2286248.44"/>
    <s v="Bank Transfer"/>
    <x v="2"/>
    <n v="2"/>
    <n v="0.35936001886199309"/>
  </r>
  <r>
    <s v="ORD-00510"/>
    <d v="2023-07-08T00:00:00"/>
    <d v="2023-07-14T00:00:00"/>
    <s v="CUST-0040"/>
    <s v="Wulan Nugroho"/>
    <s v="Consumer"/>
    <s v="Makassar"/>
    <s v="Sulawesi Selatan"/>
    <x v="2"/>
    <x v="0"/>
    <s v="Paper"/>
    <s v="PROD-9601"/>
    <x v="9"/>
    <n v="3"/>
    <n v="77300"/>
    <n v="0.05"/>
    <n v="220305"/>
    <n v="133849.82"/>
    <n v="86455.18"/>
    <s v="Bank Transfer"/>
    <x v="13"/>
    <n v="6"/>
    <n v="0.39243403463380311"/>
  </r>
  <r>
    <s v="ORD-00511"/>
    <d v="2024-09-10T00:00:00"/>
    <d v="2024-09-15T00:00:00"/>
    <s v="CUST-0093"/>
    <s v="Dinda Pratama"/>
    <s v="Consumer"/>
    <s v="Medan"/>
    <s v="Sumatera Utara"/>
    <x v="1"/>
    <x v="0"/>
    <s v="Stationery"/>
    <s v="PROD-1004"/>
    <x v="10"/>
    <n v="2"/>
    <n v="28000"/>
    <n v="0.05"/>
    <n v="53200"/>
    <n v="28791.35"/>
    <n v="24408.65"/>
    <s v="Cash"/>
    <x v="16"/>
    <n v="5"/>
    <n v="0.45880921052631579"/>
  </r>
  <r>
    <s v="ORD-00512"/>
    <d v="2025-11-23T00:00:00"/>
    <d v="2025-11-30T00:00:00"/>
    <s v="CUST-0223"/>
    <s v="Rian Anggraini"/>
    <s v="Corporate"/>
    <s v="Semarang"/>
    <s v="Jawa Tengah"/>
    <x v="0"/>
    <x v="2"/>
    <s v="Printer"/>
    <s v="PROD-5410"/>
    <x v="11"/>
    <n v="1"/>
    <n v="1508500"/>
    <n v="0.15"/>
    <n v="1282225"/>
    <n v="1152222.03"/>
    <n v="130002.97"/>
    <s v="Cash"/>
    <x v="34"/>
    <n v="7"/>
    <n v="0.10138857844762035"/>
  </r>
  <r>
    <s v="ORD-00513"/>
    <d v="2023-05-03T00:00:00"/>
    <d v="2023-05-08T00:00:00"/>
    <s v="CUST-0105"/>
    <s v="Bayu Hidayat"/>
    <s v="Consumer"/>
    <s v="Bogor"/>
    <s v="Jawa Barat"/>
    <x v="1"/>
    <x v="2"/>
    <s v="Printer"/>
    <s v="PROD-5410"/>
    <x v="11"/>
    <n v="5"/>
    <n v="1435900"/>
    <n v="0.2"/>
    <n v="5743600"/>
    <n v="5523063.6900000004"/>
    <n v="220536.31"/>
    <s v="E-Wallet"/>
    <x v="22"/>
    <n v="5"/>
    <n v="3.8396878264503095E-2"/>
  </r>
  <r>
    <s v="ORD-00514"/>
    <d v="2024-06-30T00:00:00"/>
    <d v="2024-07-07T00:00:00"/>
    <s v="CUST-0159"/>
    <s v="Oki Kusuma"/>
    <s v="Corporate"/>
    <s v="Yogyakarta"/>
    <s v="DI Yogyakarta"/>
    <x v="0"/>
    <x v="2"/>
    <s v="Smartphone"/>
    <s v="PROD-2176"/>
    <x v="17"/>
    <n v="2"/>
    <n v="2959900"/>
    <n v="0"/>
    <n v="5919800"/>
    <n v="4417733.37"/>
    <n v="1502066.63"/>
    <s v="Credit Card"/>
    <x v="35"/>
    <n v="7"/>
    <n v="0.25373604344741374"/>
  </r>
  <r>
    <s v="ORD-00515"/>
    <d v="2025-06-12T00:00:00"/>
    <d v="2025-06-16T00:00:00"/>
    <s v="CUST-0022"/>
    <s v="Farhan Kusuma"/>
    <s v="Consumer"/>
    <s v="Semarang"/>
    <s v="Jawa Tengah"/>
    <x v="0"/>
    <x v="0"/>
    <s v="Paper"/>
    <s v="PROD-7955"/>
    <x v="8"/>
    <n v="1"/>
    <n v="62300"/>
    <n v="0"/>
    <n v="62300"/>
    <n v="35004.839999999997"/>
    <n v="27295.16"/>
    <s v="Credit Card"/>
    <x v="7"/>
    <n v="4"/>
    <n v="0.43812455858747995"/>
  </r>
  <r>
    <s v="ORD-00516"/>
    <d v="2023-02-10T00:00:00"/>
    <d v="2023-02-11T00:00:00"/>
    <s v="CUST-0047"/>
    <s v="Maya Nugroho"/>
    <s v="Corporate"/>
    <s v="Surabaya"/>
    <s v="Jawa Timur"/>
    <x v="2"/>
    <x v="0"/>
    <s v="Paper"/>
    <s v="PROD-9601"/>
    <x v="9"/>
    <n v="6"/>
    <n v="75200"/>
    <n v="0.05"/>
    <n v="428640"/>
    <n v="270977.3"/>
    <n v="157662.70000000001"/>
    <s v="Bank Transfer"/>
    <x v="31"/>
    <n v="1"/>
    <n v="0.36782078200821205"/>
  </r>
  <r>
    <s v="ORD-00517"/>
    <d v="2023-10-15T00:00:00"/>
    <d v="2023-10-17T00:00:00"/>
    <s v="CUST-0161"/>
    <s v="Kartika Nugroho"/>
    <s v="Corporate"/>
    <s v="Medan"/>
    <s v="Sumatera Utara"/>
    <x v="1"/>
    <x v="2"/>
    <s v="Laptop"/>
    <s v="PROD-8448"/>
    <x v="12"/>
    <n v="2"/>
    <n v="5611100"/>
    <n v="0.1"/>
    <n v="10099980"/>
    <n v="9431269.8900000006"/>
    <n v="668710.11"/>
    <s v="E-Wallet"/>
    <x v="30"/>
    <n v="2"/>
    <n v="6.6209052889213638E-2"/>
  </r>
  <r>
    <s v="ORD-00518"/>
    <d v="2025-03-09T00:00:00"/>
    <d v="2025-03-16T00:00:00"/>
    <s v="CUST-0029"/>
    <s v="Putri Saputra"/>
    <s v="Consumer"/>
    <s v="Malang"/>
    <s v="Jawa Timur"/>
    <x v="2"/>
    <x v="0"/>
    <s v="Writing"/>
    <s v="PROD-7529"/>
    <x v="0"/>
    <n v="1"/>
    <n v="75700"/>
    <n v="0.05"/>
    <n v="71915"/>
    <n v="40185.519999999997"/>
    <n v="31729.48"/>
    <s v="Bank Transfer"/>
    <x v="20"/>
    <n v="7"/>
    <n v="0.44120809288743656"/>
  </r>
  <r>
    <s v="ORD-00519"/>
    <d v="2025-02-06T00:00:00"/>
    <d v="2025-02-12T00:00:00"/>
    <s v="CUST-0189"/>
    <s v="Anisa Lestari"/>
    <s v="Consumer"/>
    <s v="Medan"/>
    <s v="Sumatera Utara"/>
    <x v="1"/>
    <x v="0"/>
    <s v="Binder"/>
    <s v="PROD-7352"/>
    <x v="16"/>
    <n v="8"/>
    <n v="61200"/>
    <n v="0.25"/>
    <n v="367200"/>
    <n v="258758.77"/>
    <n v="108441.23"/>
    <s v="Credit Card"/>
    <x v="3"/>
    <n v="6"/>
    <n v="0.29531925381263613"/>
  </r>
  <r>
    <s v="ORD-00520"/>
    <d v="2023-02-13T00:00:00"/>
    <d v="2023-02-19T00:00:00"/>
    <s v="CUST-0063"/>
    <s v="Sari Nugroho"/>
    <s v="Corporate"/>
    <s v="Jakarta"/>
    <s v="DKI Jakarta"/>
    <x v="1"/>
    <x v="0"/>
    <s v="Paper"/>
    <s v="PROD-7955"/>
    <x v="8"/>
    <n v="1"/>
    <n v="57100"/>
    <n v="0.1"/>
    <n v="51390"/>
    <n v="32695.119999999999"/>
    <n v="18694.88"/>
    <s v="Credit Card"/>
    <x v="31"/>
    <n v="6"/>
    <n v="0.3637843938509438"/>
  </r>
  <r>
    <s v="ORD-00521"/>
    <d v="2024-04-29T00:00:00"/>
    <d v="2024-05-06T00:00:00"/>
    <s v="CUST-0083"/>
    <s v="Rian Kusuma"/>
    <s v="Small Business"/>
    <s v="Malang"/>
    <s v="Jawa Timur"/>
    <x v="2"/>
    <x v="1"/>
    <s v="Chair"/>
    <s v="PROD-9951"/>
    <x v="19"/>
    <n v="2"/>
    <n v="1935500"/>
    <n v="0.15"/>
    <n v="3290350"/>
    <n v="2525900.6"/>
    <n v="764449.4"/>
    <s v="E-Wallet"/>
    <x v="1"/>
    <n v="7"/>
    <n v="0.23233072469494129"/>
  </r>
  <r>
    <s v="ORD-00522"/>
    <d v="2024-10-11T00:00:00"/>
    <d v="2024-10-18T00:00:00"/>
    <s v="CUST-0171"/>
    <s v="Zahra Hidayat"/>
    <s v="Consumer"/>
    <s v="Jakarta"/>
    <s v="DKI Jakarta"/>
    <x v="1"/>
    <x v="0"/>
    <s v="Stationery"/>
    <s v="PROD-1004"/>
    <x v="10"/>
    <n v="5"/>
    <n v="29900"/>
    <n v="0.05"/>
    <n v="142025"/>
    <n v="73524.94"/>
    <n v="68500.06"/>
    <s v="Bank Transfer"/>
    <x v="21"/>
    <n v="7"/>
    <n v="0.48230987502200318"/>
  </r>
  <r>
    <s v="ORD-00523"/>
    <d v="2023-07-25T00:00:00"/>
    <d v="2023-08-01T00:00:00"/>
    <s v="CUST-0015"/>
    <s v="Nabila Pratama"/>
    <s v="Consumer"/>
    <s v="Medan"/>
    <s v="Sumatera Utara"/>
    <x v="1"/>
    <x v="2"/>
    <s v="Accessories"/>
    <s v="PROD-3744"/>
    <x v="4"/>
    <n v="3"/>
    <n v="134900"/>
    <n v="0.15"/>
    <n v="343995"/>
    <n v="236820.7"/>
    <n v="107174.3"/>
    <s v="Cash"/>
    <x v="13"/>
    <n v="7"/>
    <n v="0.31155772612974025"/>
  </r>
  <r>
    <s v="ORD-00524"/>
    <d v="2024-01-12T00:00:00"/>
    <d v="2024-01-18T00:00:00"/>
    <s v="CUST-0067"/>
    <s v="Bayu Anggraini"/>
    <s v="Consumer"/>
    <s v="Bogor"/>
    <s v="Jawa Barat"/>
    <x v="1"/>
    <x v="1"/>
    <s v="Storage"/>
    <s v="PROD-2602"/>
    <x v="3"/>
    <n v="3"/>
    <n v="843000"/>
    <n v="0"/>
    <n v="2529000"/>
    <n v="1595384.23"/>
    <n v="933615.77"/>
    <s v="Credit Card"/>
    <x v="26"/>
    <n v="6"/>
    <n v="0.36916400553578488"/>
  </r>
  <r>
    <s v="ORD-00525"/>
    <d v="2025-04-20T00:00:00"/>
    <d v="2025-04-27T00:00:00"/>
    <s v="CUST-0102"/>
    <s v="Citra Hidayat"/>
    <s v="Small Business"/>
    <s v="Denpasar"/>
    <s v="Bali"/>
    <x v="2"/>
    <x v="0"/>
    <s v="Stationery"/>
    <s v="PROD-5388"/>
    <x v="18"/>
    <n v="1"/>
    <n v="120900"/>
    <n v="0.2"/>
    <n v="96720"/>
    <n v="72630.080000000002"/>
    <n v="24089.919999999998"/>
    <s v="Credit Card"/>
    <x v="5"/>
    <n v="7"/>
    <n v="0.24906865177832918"/>
  </r>
  <r>
    <s v="ORD-00526"/>
    <d v="2025-01-22T00:00:00"/>
    <d v="2025-01-24T00:00:00"/>
    <s v="CUST-0237"/>
    <s v="Gita Lestari"/>
    <s v="Consumer"/>
    <s v="Makassar"/>
    <s v="Sulawesi Selatan"/>
    <x v="2"/>
    <x v="1"/>
    <s v="Desk"/>
    <s v="PROD-4040"/>
    <x v="7"/>
    <n v="6"/>
    <n v="3283400"/>
    <n v="0.1"/>
    <n v="17730360"/>
    <n v="14726499.65"/>
    <n v="3003860.35"/>
    <s v="Bank Transfer"/>
    <x v="17"/>
    <n v="2"/>
    <n v="0.16941902758883634"/>
  </r>
  <r>
    <s v="ORD-00527"/>
    <d v="2023-12-12T00:00:00"/>
    <d v="2023-12-13T00:00:00"/>
    <s v="CUST-0223"/>
    <s v="Nabila Siregar"/>
    <s v="Consumer"/>
    <s v="Makassar"/>
    <s v="Sulawesi Selatan"/>
    <x v="2"/>
    <x v="1"/>
    <s v="Desk"/>
    <s v="PROD-4040"/>
    <x v="7"/>
    <n v="8"/>
    <n v="2952900"/>
    <n v="0.1"/>
    <n v="21260880"/>
    <n v="15739770.970000001"/>
    <n v="5521109.0300000003"/>
    <s v="Bank Transfer"/>
    <x v="4"/>
    <n v="1"/>
    <n v="0.25968393735348677"/>
  </r>
  <r>
    <s v="ORD-00528"/>
    <d v="2025-07-18T00:00:00"/>
    <d v="2025-07-25T00:00:00"/>
    <s v="CUST-0196"/>
    <s v="Eka Hidayat"/>
    <s v="Corporate"/>
    <s v="Semarang"/>
    <s v="Jawa Tengah"/>
    <x v="0"/>
    <x v="0"/>
    <s v="Paper"/>
    <s v="PROD-9601"/>
    <x v="9"/>
    <n v="8"/>
    <n v="82000"/>
    <n v="0"/>
    <n v="656000"/>
    <n v="398376.86"/>
    <n v="257623.14"/>
    <s v="Credit Card"/>
    <x v="19"/>
    <n v="7"/>
    <n v="0.39271820121951223"/>
  </r>
  <r>
    <s v="ORD-00529"/>
    <d v="2024-02-28T00:00:00"/>
    <d v="2024-03-04T00:00:00"/>
    <s v="CUST-0231"/>
    <s v="Rian Putra"/>
    <s v="Consumer"/>
    <s v="Semarang"/>
    <s v="Jawa Tengah"/>
    <x v="0"/>
    <x v="2"/>
    <s v="Accessories"/>
    <s v="PROD-3744"/>
    <x v="4"/>
    <n v="4"/>
    <n v="113300"/>
    <n v="0.3"/>
    <n v="317240"/>
    <n v="257760.05"/>
    <n v="59479.95"/>
    <s v="Cash"/>
    <x v="10"/>
    <n v="5"/>
    <n v="0.18749196192157355"/>
  </r>
  <r>
    <s v="ORD-00530"/>
    <d v="2025-01-27T00:00:00"/>
    <d v="2025-02-01T00:00:00"/>
    <s v="CUST-0197"/>
    <s v="Zahra Hidayat"/>
    <s v="Consumer"/>
    <s v="Bandung"/>
    <s v="Jawa Barat"/>
    <x v="1"/>
    <x v="0"/>
    <s v="Stationery"/>
    <s v="PROD-5388"/>
    <x v="18"/>
    <n v="5"/>
    <n v="128200"/>
    <n v="0.05"/>
    <n v="608950"/>
    <n v="357181.44"/>
    <n v="251768.56"/>
    <s v="Credit Card"/>
    <x v="17"/>
    <n v="5"/>
    <n v="0.4134470153542984"/>
  </r>
  <r>
    <s v="ORD-00531"/>
    <d v="2024-06-08T00:00:00"/>
    <d v="2024-06-09T00:00:00"/>
    <s v="CUST-0024"/>
    <s v="Aldi Lestari"/>
    <s v="Consumer"/>
    <s v="Jakarta"/>
    <s v="DKI Jakarta"/>
    <x v="1"/>
    <x v="2"/>
    <s v="Laptop"/>
    <s v="PROD-7745"/>
    <x v="14"/>
    <n v="2"/>
    <n v="8019200"/>
    <n v="0.1"/>
    <n v="14434560"/>
    <n v="12975358.5"/>
    <n v="1459201.5"/>
    <s v="Credit Card"/>
    <x v="35"/>
    <n v="1"/>
    <n v="0.1010908195331205"/>
  </r>
  <r>
    <s v="ORD-00532"/>
    <d v="2025-10-30T00:00:00"/>
    <d v="2025-11-04T00:00:00"/>
    <s v="CUST-0240"/>
    <s v="Eka Santoso"/>
    <s v="Consumer"/>
    <s v="Surabaya"/>
    <s v="Jawa Timur"/>
    <x v="2"/>
    <x v="1"/>
    <s v="Desk"/>
    <s v="PROD-4040"/>
    <x v="7"/>
    <n v="3"/>
    <n v="3015400"/>
    <n v="0.05"/>
    <n v="8593890"/>
    <n v="6781572.0499999998"/>
    <n v="1812317.95"/>
    <s v="Bank Transfer"/>
    <x v="27"/>
    <n v="5"/>
    <n v="0.2108844714093385"/>
  </r>
  <r>
    <s v="ORD-00533"/>
    <d v="2024-10-11T00:00:00"/>
    <d v="2024-10-17T00:00:00"/>
    <s v="CUST-0185"/>
    <s v="Rian Hidayat"/>
    <s v="Consumer"/>
    <s v="Yogyakarta"/>
    <s v="DI Yogyakarta"/>
    <x v="0"/>
    <x v="1"/>
    <s v="Chair"/>
    <s v="PROD-0956"/>
    <x v="6"/>
    <n v="10"/>
    <n v="656400"/>
    <n v="0.3"/>
    <n v="4594800"/>
    <n v="4144373.42"/>
    <n v="450426.58"/>
    <s v="Bank Transfer"/>
    <x v="21"/>
    <n v="6"/>
    <n v="9.8029637851484289E-2"/>
  </r>
  <r>
    <s v="ORD-00534"/>
    <d v="2024-08-02T00:00:00"/>
    <d v="2024-08-05T00:00:00"/>
    <s v="CUST-0226"/>
    <s v="Bima Putra"/>
    <s v="Consumer"/>
    <s v="Medan"/>
    <s v="Sumatera Utara"/>
    <x v="1"/>
    <x v="1"/>
    <s v="Desk"/>
    <s v="PROD-6903"/>
    <x v="13"/>
    <n v="2"/>
    <n v="1398500"/>
    <n v="0.15"/>
    <n v="2377450"/>
    <n v="1817141.42"/>
    <n v="560308.57999999996"/>
    <s v="Credit Card"/>
    <x v="28"/>
    <n v="3"/>
    <n v="0.23567628341290037"/>
  </r>
  <r>
    <s v="ORD-00535"/>
    <d v="2023-11-01T00:00:00"/>
    <d v="2023-11-02T00:00:00"/>
    <s v="CUST-0183"/>
    <s v="Zahra Saputra"/>
    <s v="Consumer"/>
    <s v="Denpasar"/>
    <s v="Bali"/>
    <x v="2"/>
    <x v="2"/>
    <s v="Laptop"/>
    <s v="PROD-7745"/>
    <x v="14"/>
    <n v="2"/>
    <n v="9175300"/>
    <n v="0.25"/>
    <n v="13762950"/>
    <n v="13673697.810000001"/>
    <n v="89252.19"/>
    <s v="Cash"/>
    <x v="8"/>
    <n v="1"/>
    <n v="6.4849607097315623E-3"/>
  </r>
  <r>
    <s v="ORD-00536"/>
    <d v="2025-09-20T00:00:00"/>
    <d v="2025-09-24T00:00:00"/>
    <s v="CUST-0140"/>
    <s v="Toni Siregar"/>
    <s v="Consumer"/>
    <s v="Bogor"/>
    <s v="Jawa Barat"/>
    <x v="1"/>
    <x v="1"/>
    <s v="Storage"/>
    <s v="PROD-2602"/>
    <x v="3"/>
    <n v="1"/>
    <n v="837400"/>
    <n v="0.2"/>
    <n v="669920"/>
    <n v="570160.24"/>
    <n v="99759.76"/>
    <s v="Bank Transfer"/>
    <x v="32"/>
    <n v="4"/>
    <n v="0.14891294482923334"/>
  </r>
  <r>
    <s v="ORD-00537"/>
    <d v="2024-03-10T00:00:00"/>
    <d v="2024-03-15T00:00:00"/>
    <s v="CUST-0169"/>
    <s v="Aldi Lestari"/>
    <s v="Corporate"/>
    <s v="Medan"/>
    <s v="Sumatera Utara"/>
    <x v="1"/>
    <x v="0"/>
    <s v="Paper"/>
    <s v="PROD-7955"/>
    <x v="8"/>
    <n v="2"/>
    <n v="53200"/>
    <n v="0.15"/>
    <n v="90440"/>
    <n v="60743.65"/>
    <n v="29696.35"/>
    <s v="Credit Card"/>
    <x v="18"/>
    <n v="5"/>
    <n v="0.32835415745245466"/>
  </r>
  <r>
    <s v="ORD-00538"/>
    <d v="2023-09-07T00:00:00"/>
    <d v="2023-09-11T00:00:00"/>
    <s v="CUST-0138"/>
    <s v="Vina Ramadhan"/>
    <s v="Consumer"/>
    <s v="Surabaya"/>
    <s v="Jawa Timur"/>
    <x v="2"/>
    <x v="1"/>
    <s v="Chair"/>
    <s v="PROD-9951"/>
    <x v="19"/>
    <n v="2"/>
    <n v="1847500"/>
    <n v="0.05"/>
    <n v="3510250"/>
    <n v="2515973.5699999998"/>
    <n v="994276.43"/>
    <s v="Bank Transfer"/>
    <x v="33"/>
    <n v="4"/>
    <n v="0.28324946371341075"/>
  </r>
  <r>
    <s v="ORD-00539"/>
    <d v="2023-01-12T00:00:00"/>
    <d v="2023-01-15T00:00:00"/>
    <s v="CUST-0029"/>
    <s v="Farhan Santoso"/>
    <s v="Small Business"/>
    <s v="Surabaya"/>
    <s v="Jawa Timur"/>
    <x v="2"/>
    <x v="0"/>
    <s v="Stationery"/>
    <s v="PROD-5388"/>
    <x v="18"/>
    <n v="1"/>
    <n v="104700"/>
    <n v="0.1"/>
    <n v="94230"/>
    <n v="59202.3"/>
    <n v="35027.699999999997"/>
    <s v="Credit Card"/>
    <x v="11"/>
    <n v="3"/>
    <n v="0.37172556510665389"/>
  </r>
  <r>
    <s v="ORD-00540"/>
    <d v="2025-02-20T00:00:00"/>
    <d v="2025-02-21T00:00:00"/>
    <s v="CUST-0146"/>
    <s v="Wulan Utami"/>
    <s v="Small Business"/>
    <s v="Semarang"/>
    <s v="Jawa Tengah"/>
    <x v="0"/>
    <x v="1"/>
    <s v="Chair"/>
    <s v="PROD-0956"/>
    <x v="6"/>
    <n v="1"/>
    <n v="706900"/>
    <n v="0"/>
    <n v="706900"/>
    <n v="475640.34"/>
    <n v="231259.66"/>
    <s v="Cash"/>
    <x v="3"/>
    <n v="1"/>
    <n v="0.32714621587211773"/>
  </r>
  <r>
    <s v="ORD-00541"/>
    <d v="2023-11-12T00:00:00"/>
    <d v="2023-11-13T00:00:00"/>
    <s v="CUST-0229"/>
    <s v="Dinda Hidayat"/>
    <s v="Small Business"/>
    <s v="Yogyakarta"/>
    <s v="DI Yogyakarta"/>
    <x v="0"/>
    <x v="2"/>
    <s v="Accessories"/>
    <s v="PROD-1626"/>
    <x v="20"/>
    <n v="2"/>
    <n v="211900"/>
    <n v="0.05"/>
    <n v="402610"/>
    <n v="248173.02"/>
    <n v="154436.98000000001"/>
    <s v="Credit Card"/>
    <x v="8"/>
    <n v="1"/>
    <n v="0.38358952832766202"/>
  </r>
  <r>
    <s v="ORD-00542"/>
    <d v="2025-09-02T00:00:00"/>
    <d v="2025-09-05T00:00:00"/>
    <s v="CUST-0175"/>
    <s v="Oki Ramadhan"/>
    <s v="Corporate"/>
    <s v="Bandung"/>
    <s v="Jawa Barat"/>
    <x v="1"/>
    <x v="1"/>
    <s v="Desk"/>
    <s v="PROD-4040"/>
    <x v="7"/>
    <n v="3"/>
    <n v="3135800"/>
    <n v="0.05"/>
    <n v="8937030"/>
    <n v="6290538.9699999997"/>
    <n v="2646491.0299999998"/>
    <s v="E-Wallet"/>
    <x v="32"/>
    <n v="3"/>
    <n v="0.29612645699969675"/>
  </r>
  <r>
    <s v="ORD-00543"/>
    <d v="2024-04-04T00:00:00"/>
    <d v="2024-04-10T00:00:00"/>
    <s v="CUST-0077"/>
    <s v="Eka Ramadhan"/>
    <s v="Corporate"/>
    <s v="Denpasar"/>
    <s v="Bali"/>
    <x v="2"/>
    <x v="0"/>
    <s v="Writing"/>
    <s v="PROD-7527"/>
    <x v="5"/>
    <n v="1"/>
    <n v="44800"/>
    <n v="0.2"/>
    <n v="35840"/>
    <n v="23577.64"/>
    <n v="12262.36"/>
    <s v="Bank Transfer"/>
    <x v="1"/>
    <n v="6"/>
    <n v="0.34214174107142858"/>
  </r>
  <r>
    <s v="ORD-00544"/>
    <d v="2024-09-07T00:00:00"/>
    <d v="2024-09-14T00:00:00"/>
    <s v="CUST-0238"/>
    <s v="Yoga Mahendra"/>
    <s v="Corporate"/>
    <s v="Yogyakarta"/>
    <s v="DI Yogyakarta"/>
    <x v="0"/>
    <x v="2"/>
    <s v="Accessories"/>
    <s v="PROD-1626"/>
    <x v="20"/>
    <n v="6"/>
    <n v="233000"/>
    <n v="0.05"/>
    <n v="1328100"/>
    <n v="841897.29"/>
    <n v="486202.71"/>
    <s v="Bank Transfer"/>
    <x v="16"/>
    <n v="7"/>
    <n v="0.36608893155635874"/>
  </r>
  <r>
    <s v="ORD-00545"/>
    <d v="2024-06-02T00:00:00"/>
    <d v="2024-06-05T00:00:00"/>
    <s v="CUST-0153"/>
    <s v="Kartika Anggraini"/>
    <s v="Consumer"/>
    <s v="Medan"/>
    <s v="Sumatera Utara"/>
    <x v="1"/>
    <x v="2"/>
    <s v="Laptop"/>
    <s v="PROD-8448"/>
    <x v="12"/>
    <n v="1"/>
    <n v="5734500"/>
    <n v="0.05"/>
    <n v="5447775"/>
    <n v="4407893.49"/>
    <n v="1039881.51"/>
    <s v="Cash"/>
    <x v="35"/>
    <n v="3"/>
    <n v="0.19088187562812342"/>
  </r>
  <r>
    <s v="ORD-00546"/>
    <d v="2025-07-20T00:00:00"/>
    <d v="2025-07-27T00:00:00"/>
    <s v="CUST-0055"/>
    <s v="Nadia Saputra"/>
    <s v="Small Business"/>
    <s v="Surabaya"/>
    <s v="Jawa Timur"/>
    <x v="2"/>
    <x v="0"/>
    <s v="Binder"/>
    <s v="PROD-9396"/>
    <x v="21"/>
    <n v="1"/>
    <n v="34900"/>
    <n v="0.3"/>
    <n v="24430"/>
    <n v="17165.759999999998"/>
    <n v="7264.24"/>
    <s v="Credit Card"/>
    <x v="19"/>
    <n v="7"/>
    <n v="0.29734916086778551"/>
  </r>
  <r>
    <s v="ORD-00547"/>
    <d v="2023-02-06T00:00:00"/>
    <d v="2023-02-07T00:00:00"/>
    <s v="CUST-0250"/>
    <s v="Joko Anggraini"/>
    <s v="Corporate"/>
    <s v="Bogor"/>
    <s v="Jawa Barat"/>
    <x v="1"/>
    <x v="1"/>
    <s v="Chair"/>
    <s v="PROD-9951"/>
    <x v="19"/>
    <n v="3"/>
    <n v="1909500"/>
    <n v="0.25"/>
    <n v="4296375"/>
    <n v="3887600.37"/>
    <n v="408774.63"/>
    <s v="Cash"/>
    <x v="31"/>
    <n v="1"/>
    <n v="9.51440761106747E-2"/>
  </r>
  <r>
    <s v="ORD-00548"/>
    <d v="2025-01-08T00:00:00"/>
    <d v="2025-01-14T00:00:00"/>
    <s v="CUST-0014"/>
    <s v="Gita Kusuma"/>
    <s v="Consumer"/>
    <s v="Yogyakarta"/>
    <s v="DI Yogyakarta"/>
    <x v="0"/>
    <x v="0"/>
    <s v="Stationery"/>
    <s v="PROD-1004"/>
    <x v="10"/>
    <n v="1"/>
    <n v="25000"/>
    <n v="0"/>
    <n v="25000"/>
    <n v="13183.05"/>
    <n v="11816.95"/>
    <s v="Credit Card"/>
    <x v="17"/>
    <n v="6"/>
    <n v="0.47267800000000004"/>
  </r>
  <r>
    <s v="ORD-00549"/>
    <d v="2023-10-25T00:00:00"/>
    <d v="2023-10-31T00:00:00"/>
    <s v="CUST-0228"/>
    <s v="Putri Kusuma"/>
    <s v="Consumer"/>
    <s v="Bandung"/>
    <s v="Jawa Barat"/>
    <x v="1"/>
    <x v="2"/>
    <s v="Smartphone"/>
    <s v="PROD-6076"/>
    <x v="15"/>
    <n v="1"/>
    <n v="4666200"/>
    <n v="0"/>
    <n v="4666200"/>
    <n v="3735225.42"/>
    <n v="930974.58"/>
    <s v="Cash"/>
    <x v="30"/>
    <n v="6"/>
    <n v="0.19951450430757361"/>
  </r>
  <r>
    <s v="ORD-00550"/>
    <d v="2023-02-10T00:00:00"/>
    <d v="2023-02-17T00:00:00"/>
    <s v="CUST-0213"/>
    <s v="Bayu Kusuma"/>
    <s v="Consumer"/>
    <s v="Semarang"/>
    <s v="Jawa Tengah"/>
    <x v="0"/>
    <x v="1"/>
    <s v="Chair"/>
    <s v="PROD-0956"/>
    <x v="6"/>
    <n v="1"/>
    <n v="586100"/>
    <n v="0.1"/>
    <n v="527490"/>
    <n v="391121.72"/>
    <n v="136368.28"/>
    <s v="Cash"/>
    <x v="31"/>
    <n v="7"/>
    <n v="0.25852296726004287"/>
  </r>
  <r>
    <s v="ORD-00551"/>
    <d v="2024-08-18T00:00:00"/>
    <d v="2024-08-19T00:00:00"/>
    <s v="CUST-0033"/>
    <s v="Indra Siregar"/>
    <s v="Corporate"/>
    <s v="Medan"/>
    <s v="Sumatera Utara"/>
    <x v="1"/>
    <x v="1"/>
    <s v="Desk"/>
    <s v="PROD-4040"/>
    <x v="7"/>
    <n v="1"/>
    <n v="2877100"/>
    <n v="0"/>
    <n v="2877100"/>
    <n v="2064183.18"/>
    <n v="812916.82"/>
    <s v="Cash"/>
    <x v="28"/>
    <n v="1"/>
    <n v="0.28254729415035973"/>
  </r>
  <r>
    <s v="ORD-00552"/>
    <d v="2025-05-04T00:00:00"/>
    <d v="2025-05-08T00:00:00"/>
    <s v="CUST-0260"/>
    <s v="Hadi Anggraini"/>
    <s v="Corporate"/>
    <s v="Denpasar"/>
    <s v="Bali"/>
    <x v="2"/>
    <x v="2"/>
    <s v="Accessories"/>
    <s v="PROD-4943"/>
    <x v="2"/>
    <n v="1"/>
    <n v="514000"/>
    <n v="0.05"/>
    <n v="488300"/>
    <n v="320896.21999999997"/>
    <n v="167403.78"/>
    <s v="Bank Transfer"/>
    <x v="6"/>
    <n v="4"/>
    <n v="0.34282977677657178"/>
  </r>
  <r>
    <s v="ORD-00553"/>
    <d v="2024-11-25T00:00:00"/>
    <d v="2024-11-30T00:00:00"/>
    <s v="CUST-0242"/>
    <s v="Rizky Nugroho"/>
    <s v="Small Business"/>
    <s v="Bogor"/>
    <s v="Jawa Barat"/>
    <x v="1"/>
    <x v="0"/>
    <s v="Stationery"/>
    <s v="PROD-5388"/>
    <x v="18"/>
    <n v="8"/>
    <n v="124600"/>
    <n v="0.1"/>
    <n v="897120"/>
    <n v="594025.74"/>
    <n v="303094.26"/>
    <s v="Cash"/>
    <x v="2"/>
    <n v="5"/>
    <n v="0.33785252808988764"/>
  </r>
  <r>
    <s v="ORD-00554"/>
    <d v="2023-11-28T00:00:00"/>
    <d v="2023-12-03T00:00:00"/>
    <s v="CUST-0253"/>
    <s v="Joko Putra"/>
    <s v="Consumer"/>
    <s v="Denpasar"/>
    <s v="Bali"/>
    <x v="2"/>
    <x v="2"/>
    <s v="Laptop"/>
    <s v="PROD-8448"/>
    <x v="12"/>
    <n v="1"/>
    <n v="6150500"/>
    <n v="0.15"/>
    <n v="5227925"/>
    <n v="5277606.82"/>
    <n v="-49681.82"/>
    <s v="Credit Card"/>
    <x v="8"/>
    <n v="5"/>
    <n v="-9.5031623445248348E-3"/>
  </r>
  <r>
    <s v="ORD-00555"/>
    <d v="2024-03-04T00:00:00"/>
    <d v="2024-03-09T00:00:00"/>
    <s v="CUST-0033"/>
    <s v="Kartika Hidayat"/>
    <s v="Small Business"/>
    <s v="Surabaya"/>
    <s v="Jawa Timur"/>
    <x v="2"/>
    <x v="2"/>
    <s v="Laptop"/>
    <s v="PROD-7745"/>
    <x v="14"/>
    <n v="3"/>
    <n v="7695200"/>
    <n v="0.2"/>
    <n v="18468480"/>
    <n v="18285013.210000001"/>
    <n v="183466.79"/>
    <s v="E-Wallet"/>
    <x v="18"/>
    <n v="5"/>
    <n v="9.9340492558131488E-3"/>
  </r>
  <r>
    <s v="ORD-00556"/>
    <d v="2023-08-22T00:00:00"/>
    <d v="2023-08-27T00:00:00"/>
    <s v="CUST-0078"/>
    <s v="Bayu Mahendra"/>
    <s v="Consumer"/>
    <s v="Denpasar"/>
    <s v="Bali"/>
    <x v="2"/>
    <x v="2"/>
    <s v="Smartphone"/>
    <s v="PROD-6076"/>
    <x v="15"/>
    <n v="4"/>
    <n v="5025500"/>
    <n v="0.15"/>
    <n v="17086700"/>
    <n v="15414408.17"/>
    <n v="1672291.83"/>
    <s v="E-Wallet"/>
    <x v="0"/>
    <n v="5"/>
    <n v="9.7870965721877257E-2"/>
  </r>
  <r>
    <s v="ORD-00557"/>
    <d v="2025-11-21T00:00:00"/>
    <d v="2025-11-26T00:00:00"/>
    <s v="CUST-0053"/>
    <s v="Anisa Saputra"/>
    <s v="Corporate"/>
    <s v="Denpasar"/>
    <s v="Bali"/>
    <x v="2"/>
    <x v="0"/>
    <s v="Paper"/>
    <s v="PROD-7955"/>
    <x v="8"/>
    <n v="10"/>
    <n v="62200"/>
    <n v="0.1"/>
    <n v="559800"/>
    <n v="363170.06"/>
    <n v="196629.94"/>
    <s v="Bank Transfer"/>
    <x v="34"/>
    <n v="5"/>
    <n v="0.35125033940693107"/>
  </r>
  <r>
    <s v="ORD-00558"/>
    <d v="2023-03-27T00:00:00"/>
    <d v="2023-04-01T00:00:00"/>
    <s v="CUST-0051"/>
    <s v="Eka Ramadhan"/>
    <s v="Small Business"/>
    <s v="Semarang"/>
    <s v="Jawa Tengah"/>
    <x v="0"/>
    <x v="2"/>
    <s v="Laptop"/>
    <s v="PROD-8448"/>
    <x v="12"/>
    <n v="4"/>
    <n v="6440400"/>
    <n v="0.15"/>
    <n v="21897360"/>
    <n v="20914108.359999999"/>
    <n v="983251.64"/>
    <s v="Credit Card"/>
    <x v="24"/>
    <n v="5"/>
    <n v="4.4902748093834141E-2"/>
  </r>
  <r>
    <s v="ORD-00559"/>
    <d v="2025-01-14T00:00:00"/>
    <d v="2025-01-17T00:00:00"/>
    <s v="CUST-0147"/>
    <s v="Raka Wijaya"/>
    <s v="Consumer"/>
    <s v="Semarang"/>
    <s v="Jawa Tengah"/>
    <x v="0"/>
    <x v="0"/>
    <s v="Paper"/>
    <s v="PROD-9601"/>
    <x v="9"/>
    <n v="4"/>
    <n v="68500"/>
    <n v="0.2"/>
    <n v="219200"/>
    <n v="160759.69"/>
    <n v="58440.31"/>
    <s v="Cash"/>
    <x v="17"/>
    <n v="3"/>
    <n v="0.266607253649635"/>
  </r>
  <r>
    <s v="ORD-00560"/>
    <d v="2023-06-24T00:00:00"/>
    <d v="2023-06-27T00:00:00"/>
    <s v="CUST-0220"/>
    <s v="Nadia Siregar"/>
    <s v="Corporate"/>
    <s v="Surabaya"/>
    <s v="Jawa Timur"/>
    <x v="2"/>
    <x v="1"/>
    <s v="Desk"/>
    <s v="PROD-4040"/>
    <x v="7"/>
    <n v="1"/>
    <n v="3357200"/>
    <n v="0.05"/>
    <n v="3189340"/>
    <n v="2302248.79"/>
    <n v="887091.21"/>
    <s v="Credit Card"/>
    <x v="9"/>
    <n v="3"/>
    <n v="0.27814256554647671"/>
  </r>
  <r>
    <s v="ORD-00561"/>
    <d v="2025-04-18T00:00:00"/>
    <d v="2025-04-22T00:00:00"/>
    <s v="CUST-0206"/>
    <s v="Nabila Wijaya"/>
    <s v="Consumer"/>
    <s v="Jakarta"/>
    <s v="DKI Jakarta"/>
    <x v="1"/>
    <x v="0"/>
    <s v="Binder"/>
    <s v="PROD-7352"/>
    <x v="16"/>
    <n v="4"/>
    <n v="56800"/>
    <n v="0"/>
    <n v="227200"/>
    <n v="119691.03"/>
    <n v="107508.97"/>
    <s v="Bank Transfer"/>
    <x v="5"/>
    <n v="4"/>
    <n v="0.47319088908450707"/>
  </r>
  <r>
    <s v="ORD-00562"/>
    <d v="2025-06-07T00:00:00"/>
    <d v="2025-06-08T00:00:00"/>
    <s v="CUST-0152"/>
    <s v="Nadia Hidayat"/>
    <s v="Small Business"/>
    <s v="Bogor"/>
    <s v="Jawa Barat"/>
    <x v="1"/>
    <x v="1"/>
    <s v="Chair"/>
    <s v="PROD-9951"/>
    <x v="19"/>
    <n v="10"/>
    <n v="1952300"/>
    <n v="0.15"/>
    <n v="16594550"/>
    <n v="13707972.619999999"/>
    <n v="2886577.38"/>
    <s v="Bank Transfer"/>
    <x v="7"/>
    <n v="1"/>
    <n v="0.1739473128225833"/>
  </r>
  <r>
    <s v="ORD-00563"/>
    <d v="2024-09-15T00:00:00"/>
    <d v="2024-09-21T00:00:00"/>
    <s v="CUST-0227"/>
    <s v="Zahra Permata"/>
    <s v="Corporate"/>
    <s v="Jakarta"/>
    <s v="DKI Jakarta"/>
    <x v="1"/>
    <x v="0"/>
    <s v="Binder"/>
    <s v="PROD-7352"/>
    <x v="16"/>
    <n v="3"/>
    <n v="55900"/>
    <n v="0"/>
    <n v="167700"/>
    <n v="90727.53"/>
    <n v="76972.47"/>
    <s v="Credit Card"/>
    <x v="16"/>
    <n v="6"/>
    <n v="0.45898908765652952"/>
  </r>
  <r>
    <s v="ORD-00564"/>
    <d v="2025-04-08T00:00:00"/>
    <d v="2025-04-15T00:00:00"/>
    <s v="CUST-0146"/>
    <s v="Gita Santoso"/>
    <s v="Consumer"/>
    <s v="Bandung"/>
    <s v="Jawa Barat"/>
    <x v="1"/>
    <x v="2"/>
    <s v="Accessories"/>
    <s v="PROD-3744"/>
    <x v="4"/>
    <n v="2"/>
    <n v="132300"/>
    <n v="0.2"/>
    <n v="211680"/>
    <n v="156178.41"/>
    <n v="55501.59"/>
    <s v="E-Wallet"/>
    <x v="5"/>
    <n v="7"/>
    <n v="0.26219571995464852"/>
  </r>
  <r>
    <s v="ORD-00565"/>
    <d v="2025-11-13T00:00:00"/>
    <d v="2025-11-18T00:00:00"/>
    <s v="CUST-0057"/>
    <s v="Farhan Pratama"/>
    <s v="Consumer"/>
    <s v="Bogor"/>
    <s v="Jawa Barat"/>
    <x v="1"/>
    <x v="2"/>
    <s v="Accessories"/>
    <s v="PROD-4943"/>
    <x v="2"/>
    <n v="1"/>
    <n v="519100"/>
    <n v="0.15"/>
    <n v="441235"/>
    <n v="347043.55"/>
    <n v="94191.45"/>
    <s v="E-Wallet"/>
    <x v="34"/>
    <n v="5"/>
    <n v="0.21347229934162068"/>
  </r>
  <r>
    <s v="ORD-00566"/>
    <d v="2025-02-02T00:00:00"/>
    <d v="2025-02-05T00:00:00"/>
    <s v="CUST-0121"/>
    <s v="Rizky Mahendra"/>
    <s v="Consumer"/>
    <s v="Bandung"/>
    <s v="Jawa Barat"/>
    <x v="1"/>
    <x v="0"/>
    <s v="Binder"/>
    <s v="PROD-7352"/>
    <x v="16"/>
    <n v="2"/>
    <n v="57500"/>
    <n v="0"/>
    <n v="115000"/>
    <n v="60588.41"/>
    <n v="54411.59"/>
    <s v="Bank Transfer"/>
    <x v="3"/>
    <n v="3"/>
    <n v="0.47314426086956518"/>
  </r>
  <r>
    <s v="ORD-00567"/>
    <d v="2025-12-28T00:00:00"/>
    <d v="2026-01-04T00:00:00"/>
    <s v="CUST-0099"/>
    <s v="Anisa Utami"/>
    <s v="Consumer"/>
    <s v="Yogyakarta"/>
    <s v="DI Yogyakarta"/>
    <x v="0"/>
    <x v="1"/>
    <s v="Desk"/>
    <s v="PROD-6903"/>
    <x v="13"/>
    <n v="4"/>
    <n v="1267900"/>
    <n v="0"/>
    <n v="5071600"/>
    <n v="3372895.32"/>
    <n v="1698704.68"/>
    <s v="Credit Card"/>
    <x v="25"/>
    <n v="7"/>
    <n v="0.33494453032573546"/>
  </r>
  <r>
    <s v="ORD-00568"/>
    <d v="2025-01-09T00:00:00"/>
    <d v="2025-01-13T00:00:00"/>
    <s v="CUST-0207"/>
    <s v="Toni Saputra"/>
    <s v="Consumer"/>
    <s v="Malang"/>
    <s v="Jawa Timur"/>
    <x v="2"/>
    <x v="2"/>
    <s v="Accessories"/>
    <s v="PROD-1626"/>
    <x v="20"/>
    <n v="2"/>
    <n v="213600"/>
    <n v="0"/>
    <n v="427200"/>
    <n v="246105.51"/>
    <n v="181094.49"/>
    <s v="Bank Transfer"/>
    <x v="17"/>
    <n v="4"/>
    <n v="0.42391032303370785"/>
  </r>
  <r>
    <s v="ORD-00569"/>
    <d v="2025-11-28T00:00:00"/>
    <d v="2025-12-05T00:00:00"/>
    <s v="CUST-0214"/>
    <s v="Anisa Wijaya"/>
    <s v="Consumer"/>
    <s v="Makassar"/>
    <s v="Sulawesi Selatan"/>
    <x v="2"/>
    <x v="1"/>
    <s v="Desk"/>
    <s v="PROD-6903"/>
    <x v="13"/>
    <n v="10"/>
    <n v="1314500"/>
    <n v="0.25"/>
    <n v="9858750"/>
    <n v="9204556.8300000001"/>
    <n v="654193.17000000004"/>
    <s v="Cash"/>
    <x v="34"/>
    <n v="7"/>
    <n v="6.6356604031951316E-2"/>
  </r>
  <r>
    <s v="ORD-00570"/>
    <d v="2023-10-23T00:00:00"/>
    <d v="2023-10-28T00:00:00"/>
    <s v="CUST-0190"/>
    <s v="Rian Santoso"/>
    <s v="Small Business"/>
    <s v="Bogor"/>
    <s v="Jawa Barat"/>
    <x v="1"/>
    <x v="2"/>
    <s v="Printer"/>
    <s v="PROD-5410"/>
    <x v="11"/>
    <n v="3"/>
    <n v="1450300"/>
    <n v="0"/>
    <n v="4350900"/>
    <n v="3039887.66"/>
    <n v="1311012.3400000001"/>
    <s v="Bank Transfer"/>
    <x v="30"/>
    <n v="5"/>
    <n v="0.30131980509779588"/>
  </r>
  <r>
    <s v="ORD-00571"/>
    <d v="2025-04-16T00:00:00"/>
    <d v="2025-04-17T00:00:00"/>
    <s v="CUST-0074"/>
    <s v="Eka Utami"/>
    <s v="Corporate"/>
    <s v="Jakarta"/>
    <s v="DKI Jakarta"/>
    <x v="1"/>
    <x v="2"/>
    <s v="Accessories"/>
    <s v="PROD-3744"/>
    <x v="4"/>
    <n v="2"/>
    <n v="139800"/>
    <n v="0"/>
    <n v="279600"/>
    <n v="164303.79999999999"/>
    <n v="115296.2"/>
    <s v="Bank Transfer"/>
    <x v="5"/>
    <n v="1"/>
    <n v="0.41236123032904148"/>
  </r>
  <r>
    <s v="ORD-00572"/>
    <d v="2025-05-13T00:00:00"/>
    <d v="2025-05-14T00:00:00"/>
    <s v="CUST-0247"/>
    <s v="Toni Lestari"/>
    <s v="Consumer"/>
    <s v="Yogyakarta"/>
    <s v="DI Yogyakarta"/>
    <x v="0"/>
    <x v="0"/>
    <s v="Binder"/>
    <s v="PROD-9396"/>
    <x v="21"/>
    <n v="1"/>
    <n v="38800"/>
    <n v="0"/>
    <n v="38800"/>
    <n v="18542.689999999999"/>
    <n v="20257.310000000001"/>
    <s v="Cash"/>
    <x v="6"/>
    <n v="1"/>
    <n v="0.52209561855670106"/>
  </r>
  <r>
    <s v="ORD-00573"/>
    <d v="2025-07-15T00:00:00"/>
    <d v="2025-07-18T00:00:00"/>
    <s v="CUST-0167"/>
    <s v="Citra Utami"/>
    <s v="Consumer"/>
    <s v="Makassar"/>
    <s v="Sulawesi Selatan"/>
    <x v="2"/>
    <x v="0"/>
    <s v="Stationery"/>
    <s v="PROD-5388"/>
    <x v="18"/>
    <n v="2"/>
    <n v="115200"/>
    <n v="0.05"/>
    <n v="218880"/>
    <n v="132428.49"/>
    <n v="86451.51"/>
    <s v="Credit Card"/>
    <x v="19"/>
    <n v="3"/>
    <n v="0.3949721765350877"/>
  </r>
  <r>
    <s v="ORD-00574"/>
    <d v="2025-04-18T00:00:00"/>
    <d v="2025-04-22T00:00:00"/>
    <s v="CUST-0159"/>
    <s v="Sari Ramadhan"/>
    <s v="Corporate"/>
    <s v="Surabaya"/>
    <s v="Jawa Timur"/>
    <x v="2"/>
    <x v="2"/>
    <s v="Accessories"/>
    <s v="PROD-1626"/>
    <x v="20"/>
    <n v="4"/>
    <n v="239700"/>
    <n v="0.2"/>
    <n v="767040"/>
    <n v="599405.59"/>
    <n v="167634.41"/>
    <s v="Cash"/>
    <x v="5"/>
    <n v="4"/>
    <n v="0.21854715529828952"/>
  </r>
  <r>
    <s v="ORD-00575"/>
    <d v="2023-09-11T00:00:00"/>
    <d v="2023-09-17T00:00:00"/>
    <s v="CUST-0010"/>
    <s v="Dewi Ramadhan"/>
    <s v="Corporate"/>
    <s v="Makassar"/>
    <s v="Sulawesi Selatan"/>
    <x v="2"/>
    <x v="1"/>
    <s v="Chair"/>
    <s v="PROD-0956"/>
    <x v="6"/>
    <n v="8"/>
    <n v="659600"/>
    <n v="0.15"/>
    <n v="4485280"/>
    <n v="3428967.79"/>
    <n v="1056312.21"/>
    <s v="Bank Transfer"/>
    <x v="33"/>
    <n v="6"/>
    <n v="0.23550641431527128"/>
  </r>
  <r>
    <s v="ORD-00576"/>
    <d v="2025-12-25T00:00:00"/>
    <d v="2025-12-27T00:00:00"/>
    <s v="CUST-0252"/>
    <s v="Bayu Siregar"/>
    <s v="Consumer"/>
    <s v="Semarang"/>
    <s v="Jawa Tengah"/>
    <x v="0"/>
    <x v="0"/>
    <s v="Binder"/>
    <s v="PROD-9396"/>
    <x v="21"/>
    <n v="1"/>
    <n v="38700"/>
    <n v="0.05"/>
    <n v="36765"/>
    <n v="19863.86"/>
    <n v="16901.14"/>
    <s v="Cash"/>
    <x v="25"/>
    <n v="2"/>
    <n v="0.45970733034135725"/>
  </r>
  <r>
    <s v="ORD-00577"/>
    <d v="2023-02-17T00:00:00"/>
    <d v="2023-02-20T00:00:00"/>
    <s v="CUST-0147"/>
    <s v="Eka Wijaya"/>
    <s v="Small Business"/>
    <s v="Jakarta"/>
    <s v="DKI Jakarta"/>
    <x v="1"/>
    <x v="1"/>
    <s v="Desk"/>
    <s v="PROD-4040"/>
    <x v="7"/>
    <n v="2"/>
    <n v="2898100"/>
    <n v="0.3"/>
    <n v="4057340"/>
    <n v="4140236.75"/>
    <n v="-82896.75"/>
    <s v="E-Wallet"/>
    <x v="31"/>
    <n v="3"/>
    <n v="-2.0431304746459503E-2"/>
  </r>
  <r>
    <s v="ORD-00578"/>
    <d v="2024-06-07T00:00:00"/>
    <d v="2024-06-14T00:00:00"/>
    <s v="CUST-0200"/>
    <s v="Dewi Permata"/>
    <s v="Corporate"/>
    <s v="Malang"/>
    <s v="Jawa Timur"/>
    <x v="2"/>
    <x v="2"/>
    <s v="Accessories"/>
    <s v="PROD-3744"/>
    <x v="4"/>
    <n v="3"/>
    <n v="121400"/>
    <n v="0"/>
    <n v="364200"/>
    <n v="202280.7"/>
    <n v="161919.29999999999"/>
    <s v="Bank Transfer"/>
    <x v="35"/>
    <n v="7"/>
    <n v="0.44458896210873144"/>
  </r>
  <r>
    <s v="ORD-00579"/>
    <d v="2023-10-19T00:00:00"/>
    <d v="2023-10-23T00:00:00"/>
    <s v="CUST-0259"/>
    <s v="Maya Santoso"/>
    <s v="Small Business"/>
    <s v="Malang"/>
    <s v="Jawa Timur"/>
    <x v="2"/>
    <x v="0"/>
    <s v="Binder"/>
    <s v="PROD-9396"/>
    <x v="21"/>
    <n v="1"/>
    <n v="36200"/>
    <n v="0.1"/>
    <n v="32580"/>
    <n v="17751.46"/>
    <n v="14828.54"/>
    <s v="Bank Transfer"/>
    <x v="30"/>
    <n v="4"/>
    <n v="0.4551424186617557"/>
  </r>
  <r>
    <s v="ORD-00580"/>
    <d v="2024-07-05T00:00:00"/>
    <d v="2024-07-06T00:00:00"/>
    <s v="CUST-0052"/>
    <s v="Hadi Utami"/>
    <s v="Consumer"/>
    <s v="Bandung"/>
    <s v="Jawa Barat"/>
    <x v="1"/>
    <x v="2"/>
    <s v="Accessories"/>
    <s v="PROD-1626"/>
    <x v="20"/>
    <n v="3"/>
    <n v="253200"/>
    <n v="0"/>
    <n v="759600"/>
    <n v="465800.29"/>
    <n v="293799.71000000002"/>
    <s v="Cash"/>
    <x v="29"/>
    <n v="1"/>
    <n v="0.38678213533438655"/>
  </r>
  <r>
    <s v="ORD-00581"/>
    <d v="2023-09-15T00:00:00"/>
    <d v="2023-09-18T00:00:00"/>
    <s v="CUST-0126"/>
    <s v="Sari Hidayat"/>
    <s v="Small Business"/>
    <s v="Bandung"/>
    <s v="Jawa Barat"/>
    <x v="1"/>
    <x v="1"/>
    <s v="Desk"/>
    <s v="PROD-4040"/>
    <x v="7"/>
    <n v="4"/>
    <n v="2933700"/>
    <n v="0.1"/>
    <n v="10561320"/>
    <n v="7983244.7400000002"/>
    <n v="2578075.2599999998"/>
    <s v="Credit Card"/>
    <x v="33"/>
    <n v="3"/>
    <n v="0.24410540159752755"/>
  </r>
  <r>
    <s v="ORD-00582"/>
    <d v="2025-07-14T00:00:00"/>
    <d v="2025-07-15T00:00:00"/>
    <s v="CUST-0195"/>
    <s v="Lina Nugroho"/>
    <s v="Consumer"/>
    <s v="Makassar"/>
    <s v="Sulawesi Selatan"/>
    <x v="2"/>
    <x v="2"/>
    <s v="Printer"/>
    <s v="PROD-5410"/>
    <x v="11"/>
    <n v="1"/>
    <n v="1602800"/>
    <n v="0.05"/>
    <n v="1522660"/>
    <n v="1186008.56"/>
    <n v="336651.44"/>
    <s v="Credit Card"/>
    <x v="19"/>
    <n v="1"/>
    <n v="0.22109429550917473"/>
  </r>
  <r>
    <s v="ORD-00583"/>
    <d v="2024-03-11T00:00:00"/>
    <d v="2024-03-16T00:00:00"/>
    <s v="CUST-0144"/>
    <s v="Dinda Hidayat"/>
    <s v="Consumer"/>
    <s v="Jakarta"/>
    <s v="DKI Jakarta"/>
    <x v="1"/>
    <x v="0"/>
    <s v="Binder"/>
    <s v="PROD-9396"/>
    <x v="21"/>
    <n v="2"/>
    <n v="37500"/>
    <n v="0"/>
    <n v="75000"/>
    <n v="36305.800000000003"/>
    <n v="38694.199999999997"/>
    <s v="Bank Transfer"/>
    <x v="18"/>
    <n v="5"/>
    <n v="0.51592266666666664"/>
  </r>
  <r>
    <s v="ORD-00584"/>
    <d v="2024-03-07T00:00:00"/>
    <d v="2024-03-12T00:00:00"/>
    <s v="CUST-0169"/>
    <s v="Aldi Siregar"/>
    <s v="Corporate"/>
    <s v="Surabaya"/>
    <s v="Jawa Timur"/>
    <x v="2"/>
    <x v="1"/>
    <s v="Desk"/>
    <s v="PROD-6903"/>
    <x v="13"/>
    <n v="1"/>
    <n v="1307100"/>
    <n v="0.05"/>
    <n v="1241745"/>
    <n v="855948.35"/>
    <n v="385796.65"/>
    <s v="Cash"/>
    <x v="18"/>
    <n v="5"/>
    <n v="0.31068911088830642"/>
  </r>
  <r>
    <s v="ORD-00585"/>
    <d v="2023-10-01T00:00:00"/>
    <d v="2023-10-07T00:00:00"/>
    <s v="CUST-0042"/>
    <s v="Rizky Siregar"/>
    <s v="Small Business"/>
    <s v="Jakarta"/>
    <s v="DKI Jakarta"/>
    <x v="1"/>
    <x v="0"/>
    <s v="Stationery"/>
    <s v="PROD-5388"/>
    <x v="18"/>
    <n v="2"/>
    <n v="126200"/>
    <n v="0.15"/>
    <n v="214540"/>
    <n v="150934.87"/>
    <n v="63605.13"/>
    <s v="Credit Card"/>
    <x v="30"/>
    <n v="6"/>
    <n v="0.29647212640999349"/>
  </r>
  <r>
    <s v="ORD-00586"/>
    <d v="2023-06-08T00:00:00"/>
    <d v="2023-06-13T00:00:00"/>
    <s v="CUST-0005"/>
    <s v="Dewi Kusuma"/>
    <s v="Consumer"/>
    <s v="Bandung"/>
    <s v="Jawa Barat"/>
    <x v="1"/>
    <x v="2"/>
    <s v="Printer"/>
    <s v="PROD-5410"/>
    <x v="11"/>
    <n v="5"/>
    <n v="1419200"/>
    <n v="0"/>
    <n v="7096000"/>
    <n v="5363735.8600000003"/>
    <n v="1732264.14"/>
    <s v="Cash"/>
    <x v="9"/>
    <n v="5"/>
    <n v="0.24411839627959411"/>
  </r>
  <r>
    <s v="ORD-00587"/>
    <d v="2025-01-28T00:00:00"/>
    <d v="2025-01-30T00:00:00"/>
    <s v="CUST-0114"/>
    <s v="Hadi Kusuma"/>
    <s v="Corporate"/>
    <s v="Jakarta"/>
    <s v="DKI Jakarta"/>
    <x v="1"/>
    <x v="1"/>
    <s v="Chair"/>
    <s v="PROD-0956"/>
    <x v="6"/>
    <n v="1"/>
    <n v="701700"/>
    <n v="0.1"/>
    <n v="631530"/>
    <n v="473830"/>
    <n v="157700"/>
    <s v="E-Wallet"/>
    <x v="17"/>
    <n v="2"/>
    <n v="0.24971101927066014"/>
  </r>
  <r>
    <s v="ORD-00588"/>
    <d v="2025-01-13T00:00:00"/>
    <d v="2025-01-14T00:00:00"/>
    <s v="CUST-0100"/>
    <s v="Yoga Mahendra"/>
    <s v="Consumer"/>
    <s v="Jakarta"/>
    <s v="DKI Jakarta"/>
    <x v="1"/>
    <x v="2"/>
    <s v="Smartphone"/>
    <s v="PROD-6076"/>
    <x v="15"/>
    <n v="1"/>
    <n v="4516800"/>
    <n v="0.05"/>
    <n v="4290960"/>
    <n v="3293296.07"/>
    <n v="997663.93"/>
    <s v="Cash"/>
    <x v="17"/>
    <n v="1"/>
    <n v="0.23250366584633742"/>
  </r>
  <r>
    <s v="ORD-00589"/>
    <d v="2023-12-26T00:00:00"/>
    <d v="2023-12-27T00:00:00"/>
    <s v="CUST-0012"/>
    <s v="Zahra Ramadhan"/>
    <s v="Consumer"/>
    <s v="Bandung"/>
    <s v="Jawa Barat"/>
    <x v="1"/>
    <x v="1"/>
    <s v="Storage"/>
    <s v="PROD-2602"/>
    <x v="3"/>
    <n v="5"/>
    <n v="922500"/>
    <n v="0"/>
    <n v="4612500"/>
    <n v="3178602.33"/>
    <n v="1433897.67"/>
    <s v="Credit Card"/>
    <x v="4"/>
    <n v="1"/>
    <n v="0.31087212357723576"/>
  </r>
  <r>
    <s v="ORD-00590"/>
    <d v="2025-12-27T00:00:00"/>
    <d v="2026-01-01T00:00:00"/>
    <s v="CUST-0063"/>
    <s v="Yoga Saputra"/>
    <s v="Small Business"/>
    <s v="Jakarta"/>
    <s v="DKI Jakarta"/>
    <x v="1"/>
    <x v="2"/>
    <s v="Printer"/>
    <s v="PROD-5410"/>
    <x v="11"/>
    <n v="5"/>
    <n v="1408000"/>
    <n v="0.2"/>
    <n v="5632000"/>
    <n v="5083468.43"/>
    <n v="548531.56999999995"/>
    <s v="Bank Transfer"/>
    <x v="25"/>
    <n v="5"/>
    <n v="9.7395520241477268E-2"/>
  </r>
  <r>
    <s v="ORD-00591"/>
    <d v="2025-08-13T00:00:00"/>
    <d v="2025-08-17T00:00:00"/>
    <s v="CUST-0013"/>
    <s v="Farhan Putra"/>
    <s v="Consumer"/>
    <s v="Semarang"/>
    <s v="Jawa Tengah"/>
    <x v="0"/>
    <x v="1"/>
    <s v="Chair"/>
    <s v="PROD-9951"/>
    <x v="19"/>
    <n v="2"/>
    <n v="1696800"/>
    <n v="0.05"/>
    <n v="3223920"/>
    <n v="2225243.79"/>
    <n v="998676.21"/>
    <s v="Cash"/>
    <x v="12"/>
    <n v="4"/>
    <n v="0.30977077905158934"/>
  </r>
  <r>
    <s v="ORD-00592"/>
    <d v="2025-05-17T00:00:00"/>
    <d v="2025-05-18T00:00:00"/>
    <s v="CUST-0172"/>
    <s v="Anisa Lestari"/>
    <s v="Consumer"/>
    <s v="Bogor"/>
    <s v="Jawa Barat"/>
    <x v="1"/>
    <x v="0"/>
    <s v="Writing"/>
    <s v="PROD-7529"/>
    <x v="0"/>
    <n v="3"/>
    <n v="62600"/>
    <n v="0.05"/>
    <n v="178410"/>
    <n v="106994.5"/>
    <n v="71415.5"/>
    <s v="Bank Transfer"/>
    <x v="6"/>
    <n v="1"/>
    <n v="0.40028866094949833"/>
  </r>
  <r>
    <s v="ORD-00593"/>
    <d v="2024-05-21T00:00:00"/>
    <d v="2024-05-22T00:00:00"/>
    <s v="CUST-0229"/>
    <s v="Toni Santoso"/>
    <s v="Corporate"/>
    <s v="Jakarta"/>
    <s v="DKI Jakarta"/>
    <x v="1"/>
    <x v="1"/>
    <s v="Desk"/>
    <s v="PROD-6903"/>
    <x v="13"/>
    <n v="8"/>
    <n v="1338300"/>
    <n v="0.1"/>
    <n v="9635760"/>
    <n v="7527166.4800000004"/>
    <n v="2108593.52"/>
    <s v="Credit Card"/>
    <x v="15"/>
    <n v="1"/>
    <n v="0.21883001652178966"/>
  </r>
  <r>
    <s v="ORD-00594"/>
    <d v="2023-06-25T00:00:00"/>
    <d v="2023-06-26T00:00:00"/>
    <s v="CUST-0222"/>
    <s v="Citra Santoso"/>
    <s v="Small Business"/>
    <s v="Surabaya"/>
    <s v="Jawa Timur"/>
    <x v="2"/>
    <x v="0"/>
    <s v="Stationery"/>
    <s v="PROD-1004"/>
    <x v="10"/>
    <n v="4"/>
    <n v="24700"/>
    <n v="0.15"/>
    <n v="83980"/>
    <n v="46336.22"/>
    <n v="37643.78"/>
    <s v="Bank Transfer"/>
    <x v="9"/>
    <n v="1"/>
    <n v="0.44824696356275301"/>
  </r>
  <r>
    <s v="ORD-00595"/>
    <d v="2023-04-25T00:00:00"/>
    <d v="2023-04-30T00:00:00"/>
    <s v="CUST-0197"/>
    <s v="Oki Utami"/>
    <s v="Consumer"/>
    <s v="Malang"/>
    <s v="Jawa Timur"/>
    <x v="2"/>
    <x v="2"/>
    <s v="Accessories"/>
    <s v="PROD-1626"/>
    <x v="20"/>
    <n v="1"/>
    <n v="237300"/>
    <n v="0.1"/>
    <n v="213570"/>
    <n v="135457.32"/>
    <n v="78112.679999999993"/>
    <s v="Cash"/>
    <x v="14"/>
    <n v="5"/>
    <n v="0.36574743643770191"/>
  </r>
  <r>
    <s v="ORD-00596"/>
    <d v="2025-05-26T00:00:00"/>
    <d v="2025-05-31T00:00:00"/>
    <s v="CUST-0100"/>
    <s v="Dinda Anggraini"/>
    <s v="Consumer"/>
    <s v="Jakarta"/>
    <s v="DKI Jakarta"/>
    <x v="1"/>
    <x v="1"/>
    <s v="Desk"/>
    <s v="PROD-6903"/>
    <x v="13"/>
    <n v="3"/>
    <n v="1154700"/>
    <n v="0"/>
    <n v="3464100"/>
    <n v="2420118.56"/>
    <n v="1043981.44"/>
    <s v="E-Wallet"/>
    <x v="6"/>
    <n v="5"/>
    <n v="0.30137162322103866"/>
  </r>
  <r>
    <s v="ORD-00597"/>
    <d v="2023-09-16T00:00:00"/>
    <d v="2023-09-22T00:00:00"/>
    <s v="CUST-0224"/>
    <s v="Raka Ramadhan"/>
    <s v="Consumer"/>
    <s v="Malang"/>
    <s v="Jawa Timur"/>
    <x v="2"/>
    <x v="1"/>
    <s v="Desk"/>
    <s v="PROD-6903"/>
    <x v="13"/>
    <n v="1"/>
    <n v="1162900"/>
    <n v="0"/>
    <n v="1162900"/>
    <n v="753118.45"/>
    <n v="409781.55"/>
    <s v="Cash"/>
    <x v="33"/>
    <n v="6"/>
    <n v="0.35237900937311889"/>
  </r>
  <r>
    <s v="ORD-00598"/>
    <d v="2025-01-02T00:00:00"/>
    <d v="2025-01-05T00:00:00"/>
    <s v="CUST-0075"/>
    <s v="Bima Putra"/>
    <s v="Consumer"/>
    <s v="Bogor"/>
    <s v="Jawa Barat"/>
    <x v="1"/>
    <x v="1"/>
    <s v="Storage"/>
    <s v="PROD-7524"/>
    <x v="1"/>
    <n v="3"/>
    <n v="944800"/>
    <n v="0.3"/>
    <n v="1984080"/>
    <n v="1960732.95"/>
    <n v="23347.05"/>
    <s v="E-Wallet"/>
    <x v="17"/>
    <n v="3"/>
    <n v="1.176719184710294E-2"/>
  </r>
  <r>
    <s v="ORD-00599"/>
    <d v="2025-11-04T00:00:00"/>
    <d v="2025-11-11T00:00:00"/>
    <s v="CUST-0244"/>
    <s v="Zahra Mahendra"/>
    <s v="Consumer"/>
    <s v="Malang"/>
    <s v="Jawa Timur"/>
    <x v="2"/>
    <x v="0"/>
    <s v="Paper"/>
    <s v="PROD-7955"/>
    <x v="8"/>
    <n v="3"/>
    <n v="54800"/>
    <n v="0"/>
    <n v="164400"/>
    <n v="88124.800000000003"/>
    <n v="76275.199999999997"/>
    <s v="Credit Card"/>
    <x v="34"/>
    <n v="7"/>
    <n v="0.46396107055961067"/>
  </r>
  <r>
    <s v="ORD-00600"/>
    <d v="2025-08-15T00:00:00"/>
    <d v="2025-08-20T00:00:00"/>
    <s v="CUST-0113"/>
    <s v="Rian Pratama"/>
    <s v="Consumer"/>
    <s v="Makassar"/>
    <s v="Sulawesi Selatan"/>
    <x v="2"/>
    <x v="0"/>
    <s v="Binder"/>
    <s v="PROD-7352"/>
    <x v="16"/>
    <n v="1"/>
    <n v="56000"/>
    <n v="0.15"/>
    <n v="47600"/>
    <n v="28358.79"/>
    <n v="19241.21"/>
    <s v="E-Wallet"/>
    <x v="12"/>
    <n v="5"/>
    <n v="0.40422710084033614"/>
  </r>
  <r>
    <s v="ORD-00601"/>
    <d v="2024-04-01T00:00:00"/>
    <d v="2024-04-07T00:00:00"/>
    <s v="CUST-0004"/>
    <s v="Lina Pratama"/>
    <s v="Consumer"/>
    <s v="Semarang"/>
    <s v="Jawa Tengah"/>
    <x v="0"/>
    <x v="2"/>
    <s v="Smartphone"/>
    <s v="PROD-6076"/>
    <x v="15"/>
    <n v="4"/>
    <n v="4618700"/>
    <n v="0.05"/>
    <n v="17551060"/>
    <n v="14651314.91"/>
    <n v="2899745.09"/>
    <s v="E-Wallet"/>
    <x v="1"/>
    <n v="6"/>
    <n v="0.16521766149736825"/>
  </r>
  <r>
    <s v="ORD-00602"/>
    <d v="2023-06-01T00:00:00"/>
    <d v="2023-06-04T00:00:00"/>
    <s v="CUST-0102"/>
    <s v="Gita Lestari"/>
    <s v="Consumer"/>
    <s v="Bogor"/>
    <s v="Jawa Barat"/>
    <x v="1"/>
    <x v="2"/>
    <s v="Laptop"/>
    <s v="PROD-8448"/>
    <x v="12"/>
    <n v="3"/>
    <n v="6714900"/>
    <n v="0.05"/>
    <n v="19137465"/>
    <n v="17353292.530000001"/>
    <n v="1784172.47"/>
    <s v="Credit Card"/>
    <x v="9"/>
    <n v="3"/>
    <n v="9.3229300223409944E-2"/>
  </r>
  <r>
    <s v="ORD-00603"/>
    <d v="2023-12-23T00:00:00"/>
    <d v="2023-12-25T00:00:00"/>
    <s v="CUST-0011"/>
    <s v="Anisa Ramadhan"/>
    <s v="Small Business"/>
    <s v="Surabaya"/>
    <s v="Jawa Timur"/>
    <x v="2"/>
    <x v="0"/>
    <s v="Writing"/>
    <s v="PROD-7527"/>
    <x v="5"/>
    <n v="1"/>
    <n v="40700"/>
    <n v="0.2"/>
    <n v="32560"/>
    <n v="22611.29"/>
    <n v="9948.7099999999991"/>
    <s v="Credit Card"/>
    <x v="4"/>
    <n v="2"/>
    <n v="0.30555006142506141"/>
  </r>
  <r>
    <s v="ORD-00604"/>
    <d v="2023-10-09T00:00:00"/>
    <d v="2023-10-13T00:00:00"/>
    <s v="CUST-0223"/>
    <s v="Dinda Mahendra"/>
    <s v="Small Business"/>
    <s v="Surabaya"/>
    <s v="Jawa Timur"/>
    <x v="2"/>
    <x v="0"/>
    <s v="Paper"/>
    <s v="PROD-9601"/>
    <x v="9"/>
    <n v="2"/>
    <n v="74600"/>
    <n v="0.05"/>
    <n v="141740"/>
    <n v="84136.94"/>
    <n v="57603.06"/>
    <s v="E-Wallet"/>
    <x v="30"/>
    <n v="4"/>
    <n v="0.40639946380697051"/>
  </r>
  <r>
    <s v="ORD-00605"/>
    <d v="2023-05-14T00:00:00"/>
    <d v="2023-05-15T00:00:00"/>
    <s v="CUST-0024"/>
    <s v="Nabila Anggraini"/>
    <s v="Consumer"/>
    <s v="Semarang"/>
    <s v="Jawa Tengah"/>
    <x v="0"/>
    <x v="2"/>
    <s v="Smartphone"/>
    <s v="PROD-2176"/>
    <x v="17"/>
    <n v="3"/>
    <n v="3103800"/>
    <n v="0.05"/>
    <n v="8845830"/>
    <n v="7308060.8899999997"/>
    <n v="1537769.11"/>
    <s v="Cash"/>
    <x v="22"/>
    <n v="1"/>
    <n v="0.17384113305365353"/>
  </r>
  <r>
    <s v="ORD-00606"/>
    <d v="2024-01-23T00:00:00"/>
    <d v="2024-01-30T00:00:00"/>
    <s v="CUST-0108"/>
    <s v="Farhan Santoso"/>
    <s v="Consumer"/>
    <s v="Surabaya"/>
    <s v="Jawa Timur"/>
    <x v="2"/>
    <x v="1"/>
    <s v="Chair"/>
    <s v="PROD-0956"/>
    <x v="6"/>
    <n v="5"/>
    <n v="706800"/>
    <n v="0.25"/>
    <n v="2650500"/>
    <n v="2409132.79"/>
    <n v="241367.21"/>
    <s v="E-Wallet"/>
    <x v="26"/>
    <n v="7"/>
    <n v="9.106478400301829E-2"/>
  </r>
  <r>
    <s v="ORD-00607"/>
    <d v="2025-08-21T00:00:00"/>
    <d v="2025-08-28T00:00:00"/>
    <s v="CUST-0248"/>
    <s v="Zahra Kusuma"/>
    <s v="Consumer"/>
    <s v="Bogor"/>
    <s v="Jawa Barat"/>
    <x v="1"/>
    <x v="0"/>
    <s v="Paper"/>
    <s v="PROD-9601"/>
    <x v="9"/>
    <n v="2"/>
    <n v="76200"/>
    <n v="0.05"/>
    <n v="144780"/>
    <n v="88268.63"/>
    <n v="56511.37"/>
    <s v="E-Wallet"/>
    <x v="12"/>
    <n v="7"/>
    <n v="0.39032580466915323"/>
  </r>
  <r>
    <s v="ORD-00608"/>
    <d v="2025-08-28T00:00:00"/>
    <d v="2025-08-31T00:00:00"/>
    <s v="CUST-0157"/>
    <s v="Nadia Siregar"/>
    <s v="Corporate"/>
    <s v="Makassar"/>
    <s v="Sulawesi Selatan"/>
    <x v="2"/>
    <x v="1"/>
    <s v="Storage"/>
    <s v="PROD-2602"/>
    <x v="3"/>
    <n v="1"/>
    <n v="821900"/>
    <n v="0.2"/>
    <n v="657520"/>
    <n v="535018.72"/>
    <n v="122501.28"/>
    <s v="Credit Card"/>
    <x v="12"/>
    <n v="3"/>
    <n v="0.18630806667477795"/>
  </r>
  <r>
    <s v="ORD-00609"/>
    <d v="2025-02-11T00:00:00"/>
    <d v="2025-02-16T00:00:00"/>
    <s v="CUST-0022"/>
    <s v="Oki Saputra"/>
    <s v="Corporate"/>
    <s v="Yogyakarta"/>
    <s v="DI Yogyakarta"/>
    <x v="0"/>
    <x v="2"/>
    <s v="Accessories"/>
    <s v="PROD-4943"/>
    <x v="2"/>
    <n v="4"/>
    <n v="468000"/>
    <n v="0.05"/>
    <n v="1778400"/>
    <n v="1137337.93"/>
    <n v="641062.06999999995"/>
    <s v="Credit Card"/>
    <x v="3"/>
    <n v="5"/>
    <n v="0.36047124943769676"/>
  </r>
  <r>
    <s v="ORD-00610"/>
    <d v="2024-11-19T00:00:00"/>
    <d v="2024-11-23T00:00:00"/>
    <s v="CUST-0039"/>
    <s v="Lina Siregar"/>
    <s v="Consumer"/>
    <s v="Malang"/>
    <s v="Jawa Timur"/>
    <x v="2"/>
    <x v="1"/>
    <s v="Desk"/>
    <s v="PROD-4040"/>
    <x v="7"/>
    <n v="2"/>
    <n v="3100000"/>
    <n v="0"/>
    <n v="6200000"/>
    <n v="4254904.54"/>
    <n v="1945095.46"/>
    <s v="Cash"/>
    <x v="2"/>
    <n v="4"/>
    <n v="0.31372507419354839"/>
  </r>
  <r>
    <s v="ORD-00611"/>
    <d v="2023-06-18T00:00:00"/>
    <d v="2023-06-21T00:00:00"/>
    <s v="CUST-0169"/>
    <s v="Indra Lestari"/>
    <s v="Small Business"/>
    <s v="Yogyakarta"/>
    <s v="DI Yogyakarta"/>
    <x v="0"/>
    <x v="0"/>
    <s v="Paper"/>
    <s v="PROD-9601"/>
    <x v="9"/>
    <n v="1"/>
    <n v="74400"/>
    <n v="0.1"/>
    <n v="66960"/>
    <n v="42866.7"/>
    <n v="24093.3"/>
    <s v="Bank Transfer"/>
    <x v="9"/>
    <n v="3"/>
    <n v="0.35981630824372757"/>
  </r>
  <r>
    <s v="ORD-00612"/>
    <d v="2024-07-16T00:00:00"/>
    <d v="2024-07-18T00:00:00"/>
    <s v="CUST-0208"/>
    <s v="Anisa Anggraini"/>
    <s v="Small Business"/>
    <s v="Medan"/>
    <s v="Sumatera Utara"/>
    <x v="1"/>
    <x v="0"/>
    <s v="Writing"/>
    <s v="PROD-7527"/>
    <x v="5"/>
    <n v="4"/>
    <n v="43300"/>
    <n v="0.05"/>
    <n v="164540"/>
    <n v="97232.15"/>
    <n v="67307.850000000006"/>
    <s v="Bank Transfer"/>
    <x v="29"/>
    <n v="2"/>
    <n v="0.40906679226935705"/>
  </r>
  <r>
    <s v="ORD-00613"/>
    <d v="2023-01-25T00:00:00"/>
    <d v="2023-01-29T00:00:00"/>
    <s v="CUST-0237"/>
    <s v="Kartika Utami"/>
    <s v="Consumer"/>
    <s v="Malang"/>
    <s v="Jawa Timur"/>
    <x v="2"/>
    <x v="0"/>
    <s v="Writing"/>
    <s v="PROD-7527"/>
    <x v="5"/>
    <n v="2"/>
    <n v="45600"/>
    <n v="0.15"/>
    <n v="77520"/>
    <n v="49723.63"/>
    <n v="27796.37"/>
    <s v="Credit Card"/>
    <x v="11"/>
    <n v="4"/>
    <n v="0.35857030443756449"/>
  </r>
  <r>
    <s v="ORD-00614"/>
    <d v="2023-06-25T00:00:00"/>
    <d v="2023-06-28T00:00:00"/>
    <s v="CUST-0157"/>
    <s v="Farhan Pratama"/>
    <s v="Consumer"/>
    <s v="Malang"/>
    <s v="Jawa Timur"/>
    <x v="2"/>
    <x v="0"/>
    <s v="Stationery"/>
    <s v="PROD-1004"/>
    <x v="10"/>
    <n v="5"/>
    <n v="24500"/>
    <n v="0"/>
    <n v="122500"/>
    <n v="63841.84"/>
    <n v="58658.16"/>
    <s v="Cash"/>
    <x v="9"/>
    <n v="3"/>
    <n v="0.47884212244897961"/>
  </r>
  <r>
    <s v="ORD-00615"/>
    <d v="2025-10-20T00:00:00"/>
    <d v="2025-10-27T00:00:00"/>
    <s v="CUST-0167"/>
    <s v="Toni Pratama"/>
    <s v="Consumer"/>
    <s v="Surabaya"/>
    <s v="Jawa Timur"/>
    <x v="2"/>
    <x v="0"/>
    <s v="Binder"/>
    <s v="PROD-7352"/>
    <x v="16"/>
    <n v="3"/>
    <n v="55400"/>
    <n v="0.15"/>
    <n v="141270"/>
    <n v="89837.9"/>
    <n v="51432.1"/>
    <s v="Cash"/>
    <x v="27"/>
    <n v="7"/>
    <n v="0.36406951228144685"/>
  </r>
  <r>
    <s v="ORD-00616"/>
    <d v="2023-03-07T00:00:00"/>
    <d v="2023-03-09T00:00:00"/>
    <s v="CUST-0097"/>
    <s v="Putri Santoso"/>
    <s v="Corporate"/>
    <s v="Makassar"/>
    <s v="Sulawesi Selatan"/>
    <x v="2"/>
    <x v="2"/>
    <s v="Accessories"/>
    <s v="PROD-4943"/>
    <x v="2"/>
    <n v="10"/>
    <n v="458300"/>
    <n v="0.05"/>
    <n v="4353850"/>
    <n v="2896822.37"/>
    <n v="1457027.63"/>
    <s v="Cash"/>
    <x v="24"/>
    <n v="2"/>
    <n v="0.33465269359302685"/>
  </r>
  <r>
    <s v="ORD-00617"/>
    <d v="2024-11-04T00:00:00"/>
    <d v="2024-11-09T00:00:00"/>
    <s v="CUST-0036"/>
    <s v="Rian Hidayat"/>
    <s v="Consumer"/>
    <s v="Bandung"/>
    <s v="Jawa Barat"/>
    <x v="1"/>
    <x v="0"/>
    <s v="Binder"/>
    <s v="PROD-9396"/>
    <x v="21"/>
    <n v="1"/>
    <n v="40000"/>
    <n v="0.05"/>
    <n v="38000"/>
    <n v="19485.400000000001"/>
    <n v="18514.599999999999"/>
    <s v="Credit Card"/>
    <x v="2"/>
    <n v="5"/>
    <n v="0.48722631578947362"/>
  </r>
  <r>
    <s v="ORD-00618"/>
    <d v="2024-08-04T00:00:00"/>
    <d v="2024-08-06T00:00:00"/>
    <s v="CUST-0057"/>
    <s v="Eka Saputra"/>
    <s v="Consumer"/>
    <s v="Denpasar"/>
    <s v="Bali"/>
    <x v="2"/>
    <x v="2"/>
    <s v="Laptop"/>
    <s v="PROD-8448"/>
    <x v="12"/>
    <n v="1"/>
    <n v="6643700"/>
    <n v="0.05"/>
    <n v="6311515"/>
    <n v="5157714.83"/>
    <n v="1153800.17"/>
    <s v="Bank Transfer"/>
    <x v="28"/>
    <n v="2"/>
    <n v="0.18280875035550101"/>
  </r>
  <r>
    <s v="ORD-00619"/>
    <d v="2025-05-06T00:00:00"/>
    <d v="2025-05-10T00:00:00"/>
    <s v="CUST-0159"/>
    <s v="Toni Putra"/>
    <s v="Consumer"/>
    <s v="Semarang"/>
    <s v="Jawa Tengah"/>
    <x v="0"/>
    <x v="0"/>
    <s v="Stationery"/>
    <s v="PROD-1004"/>
    <x v="10"/>
    <n v="2"/>
    <n v="29200"/>
    <n v="0.1"/>
    <n v="52560"/>
    <n v="27775.88"/>
    <n v="24784.12"/>
    <s v="Credit Card"/>
    <x v="6"/>
    <n v="4"/>
    <n v="0.47153957382039574"/>
  </r>
  <r>
    <s v="ORD-00620"/>
    <d v="2025-10-26T00:00:00"/>
    <d v="2025-11-01T00:00:00"/>
    <s v="CUST-0169"/>
    <s v="Rian Anggraini"/>
    <s v="Consumer"/>
    <s v="Semarang"/>
    <s v="Jawa Tengah"/>
    <x v="0"/>
    <x v="0"/>
    <s v="Binder"/>
    <s v="PROD-9396"/>
    <x v="21"/>
    <n v="2"/>
    <n v="41100"/>
    <n v="0.1"/>
    <n v="73980"/>
    <n v="40363.870000000003"/>
    <n v="33616.129999999997"/>
    <s v="Credit Card"/>
    <x v="27"/>
    <n v="6"/>
    <n v="0.45439483644228168"/>
  </r>
  <r>
    <s v="ORD-00621"/>
    <d v="2025-10-02T00:00:00"/>
    <d v="2025-10-06T00:00:00"/>
    <s v="CUST-0090"/>
    <s v="Nadia Putra"/>
    <s v="Consumer"/>
    <s v="Bandung"/>
    <s v="Jawa Barat"/>
    <x v="1"/>
    <x v="1"/>
    <s v="Chair"/>
    <s v="PROD-9951"/>
    <x v="19"/>
    <n v="2"/>
    <n v="1899400"/>
    <n v="0.15"/>
    <n v="3228980"/>
    <n v="2509318.44"/>
    <n v="719661.56"/>
    <s v="Cash"/>
    <x v="27"/>
    <n v="4"/>
    <n v="0.22287581836988773"/>
  </r>
  <r>
    <s v="ORD-00622"/>
    <d v="2024-01-03T00:00:00"/>
    <d v="2024-01-08T00:00:00"/>
    <s v="CUST-0081"/>
    <s v="Indra Siregar"/>
    <s v="Small Business"/>
    <s v="Malang"/>
    <s v="Jawa Timur"/>
    <x v="2"/>
    <x v="0"/>
    <s v="Stationery"/>
    <s v="PROD-5388"/>
    <x v="18"/>
    <n v="3"/>
    <n v="105900"/>
    <n v="0.1"/>
    <n v="285930"/>
    <n v="173062.48"/>
    <n v="112867.52"/>
    <s v="Credit Card"/>
    <x v="26"/>
    <n v="5"/>
    <n v="0.39473829258909526"/>
  </r>
  <r>
    <s v="ORD-00623"/>
    <d v="2024-08-20T00:00:00"/>
    <d v="2024-08-26T00:00:00"/>
    <s v="CUST-0167"/>
    <s v="Nadia Kusuma"/>
    <s v="Consumer"/>
    <s v="Denpasar"/>
    <s v="Bali"/>
    <x v="2"/>
    <x v="0"/>
    <s v="Writing"/>
    <s v="PROD-7529"/>
    <x v="0"/>
    <n v="10"/>
    <n v="62300"/>
    <n v="0"/>
    <n v="623000"/>
    <n v="353123.28"/>
    <n v="269876.71999999997"/>
    <s v="Bank Transfer"/>
    <x v="28"/>
    <n v="6"/>
    <n v="0.43318895666131618"/>
  </r>
  <r>
    <s v="ORD-00624"/>
    <d v="2023-12-04T00:00:00"/>
    <d v="2023-12-07T00:00:00"/>
    <s v="CUST-0006"/>
    <s v="Indra Santoso"/>
    <s v="Consumer"/>
    <s v="Denpasar"/>
    <s v="Bali"/>
    <x v="2"/>
    <x v="2"/>
    <s v="Laptop"/>
    <s v="PROD-7745"/>
    <x v="14"/>
    <n v="2"/>
    <n v="8725700"/>
    <n v="0.2"/>
    <n v="13961120"/>
    <n v="13633431.17"/>
    <n v="327688.83"/>
    <s v="Cash"/>
    <x v="4"/>
    <n v="3"/>
    <n v="2.3471528788521268E-2"/>
  </r>
  <r>
    <s v="ORD-00625"/>
    <d v="2023-10-07T00:00:00"/>
    <d v="2023-10-10T00:00:00"/>
    <s v="CUST-0143"/>
    <s v="Anisa Wijaya"/>
    <s v="Consumer"/>
    <s v="Denpasar"/>
    <s v="Bali"/>
    <x v="2"/>
    <x v="0"/>
    <s v="Stationery"/>
    <s v="PROD-5388"/>
    <x v="18"/>
    <n v="2"/>
    <n v="109600"/>
    <n v="0.25"/>
    <n v="164400"/>
    <n v="120974.94"/>
    <n v="43425.06"/>
    <s v="Bank Transfer"/>
    <x v="30"/>
    <n v="3"/>
    <n v="0.26414270072992702"/>
  </r>
  <r>
    <s v="ORD-00626"/>
    <d v="2023-12-16T00:00:00"/>
    <d v="2023-12-23T00:00:00"/>
    <s v="CUST-0226"/>
    <s v="Lina Wijaya"/>
    <s v="Consumer"/>
    <s v="Bogor"/>
    <s v="Jawa Barat"/>
    <x v="1"/>
    <x v="2"/>
    <s v="Laptop"/>
    <s v="PROD-8448"/>
    <x v="12"/>
    <n v="1"/>
    <n v="6391000"/>
    <n v="0"/>
    <n v="6391000"/>
    <n v="5038780.9400000004"/>
    <n v="1352219.06"/>
    <s v="Cash"/>
    <x v="4"/>
    <n v="7"/>
    <n v="0.21158176498200595"/>
  </r>
  <r>
    <s v="ORD-00627"/>
    <d v="2024-03-19T00:00:00"/>
    <d v="2024-03-25T00:00:00"/>
    <s v="CUST-0194"/>
    <s v="Nabila Putra"/>
    <s v="Corporate"/>
    <s v="Denpasar"/>
    <s v="Bali"/>
    <x v="2"/>
    <x v="2"/>
    <s v="Smartphone"/>
    <s v="PROD-6076"/>
    <x v="15"/>
    <n v="2"/>
    <n v="4548800"/>
    <n v="0"/>
    <n v="9097600"/>
    <n v="6486178.5800000001"/>
    <n v="2611421.42"/>
    <s v="Bank Transfer"/>
    <x v="18"/>
    <n v="6"/>
    <n v="0.2870450910130144"/>
  </r>
  <r>
    <s v="ORD-00628"/>
    <d v="2024-05-26T00:00:00"/>
    <d v="2024-05-29T00:00:00"/>
    <s v="CUST-0113"/>
    <s v="Dinda Santoso"/>
    <s v="Consumer"/>
    <s v="Bandung"/>
    <s v="Jawa Barat"/>
    <x v="1"/>
    <x v="0"/>
    <s v="Writing"/>
    <s v="PROD-7529"/>
    <x v="0"/>
    <n v="10"/>
    <n v="66200"/>
    <n v="0"/>
    <n v="662000"/>
    <n v="370693.69"/>
    <n v="291306.31"/>
    <s v="Bank Transfer"/>
    <x v="15"/>
    <n v="3"/>
    <n v="0.4400397432024169"/>
  </r>
  <r>
    <s v="ORD-00629"/>
    <d v="2023-12-10T00:00:00"/>
    <d v="2023-12-16T00:00:00"/>
    <s v="CUST-0203"/>
    <s v="Nadia Santoso"/>
    <s v="Consumer"/>
    <s v="Medan"/>
    <s v="Sumatera Utara"/>
    <x v="1"/>
    <x v="2"/>
    <s v="Accessories"/>
    <s v="PROD-1626"/>
    <x v="20"/>
    <n v="2"/>
    <n v="238700"/>
    <n v="0.1"/>
    <n v="429660"/>
    <n v="306909.74"/>
    <n v="122750.26"/>
    <s v="E-Wallet"/>
    <x v="4"/>
    <n v="6"/>
    <n v="0.28569161662710046"/>
  </r>
  <r>
    <s v="ORD-00630"/>
    <d v="2024-04-20T00:00:00"/>
    <d v="2024-04-22T00:00:00"/>
    <s v="CUST-0143"/>
    <s v="Wulan Anggraini"/>
    <s v="Consumer"/>
    <s v="Bogor"/>
    <s v="Jawa Barat"/>
    <x v="1"/>
    <x v="2"/>
    <s v="Accessories"/>
    <s v="PROD-4943"/>
    <x v="2"/>
    <n v="1"/>
    <n v="459200"/>
    <n v="0"/>
    <n v="459200"/>
    <n v="294820.96000000002"/>
    <n v="164379.04"/>
    <s v="E-Wallet"/>
    <x v="1"/>
    <n v="2"/>
    <n v="0.35796829268292685"/>
  </r>
  <r>
    <s v="ORD-00631"/>
    <d v="2025-01-25T00:00:00"/>
    <d v="2025-01-26T00:00:00"/>
    <s v="CUST-0088"/>
    <s v="Indra Santoso"/>
    <s v="Consumer"/>
    <s v="Malang"/>
    <s v="Jawa Timur"/>
    <x v="2"/>
    <x v="2"/>
    <s v="Smartphone"/>
    <s v="PROD-6076"/>
    <x v="15"/>
    <n v="10"/>
    <n v="4335300"/>
    <n v="0.1"/>
    <n v="39017700"/>
    <n v="35075906.530000001"/>
    <n v="3941793.47"/>
    <s v="Cash"/>
    <x v="17"/>
    <n v="1"/>
    <n v="0.10102577727544167"/>
  </r>
  <r>
    <s v="ORD-00632"/>
    <d v="2024-10-26T00:00:00"/>
    <d v="2024-11-01T00:00:00"/>
    <s v="CUST-0230"/>
    <s v="Maya Saputra"/>
    <s v="Consumer"/>
    <s v="Surabaya"/>
    <s v="Jawa Timur"/>
    <x v="2"/>
    <x v="0"/>
    <s v="Writing"/>
    <s v="PROD-7527"/>
    <x v="5"/>
    <n v="10"/>
    <n v="47100"/>
    <n v="0"/>
    <n v="471000"/>
    <n v="233235.93"/>
    <n v="237764.07"/>
    <s v="E-Wallet"/>
    <x v="21"/>
    <n v="6"/>
    <n v="0.50480694267515924"/>
  </r>
  <r>
    <s v="ORD-00633"/>
    <d v="2024-04-21T00:00:00"/>
    <d v="2024-04-26T00:00:00"/>
    <s v="CUST-0031"/>
    <s v="Eka Permata"/>
    <s v="Consumer"/>
    <s v="Semarang"/>
    <s v="Jawa Tengah"/>
    <x v="0"/>
    <x v="1"/>
    <s v="Chair"/>
    <s v="PROD-9951"/>
    <x v="19"/>
    <n v="2"/>
    <n v="1859100"/>
    <n v="0.15"/>
    <n v="3160470"/>
    <n v="2529030.19"/>
    <n v="631439.81000000006"/>
    <s v="Bank Transfer"/>
    <x v="1"/>
    <n v="5"/>
    <n v="0.19979300863479169"/>
  </r>
  <r>
    <s v="ORD-00634"/>
    <d v="2025-10-18T00:00:00"/>
    <d v="2025-10-21T00:00:00"/>
    <s v="CUST-0169"/>
    <s v="Eka Lestari"/>
    <s v="Corporate"/>
    <s v="Semarang"/>
    <s v="Jawa Tengah"/>
    <x v="0"/>
    <x v="2"/>
    <s v="Accessories"/>
    <s v="PROD-1626"/>
    <x v="20"/>
    <n v="6"/>
    <n v="237300"/>
    <n v="0.25"/>
    <n v="1067850"/>
    <n v="893665.07"/>
    <n v="174184.93"/>
    <s v="Credit Card"/>
    <x v="27"/>
    <n v="3"/>
    <n v="0.16311741349440464"/>
  </r>
  <r>
    <s v="ORD-00635"/>
    <d v="2024-10-12T00:00:00"/>
    <d v="2024-10-18T00:00:00"/>
    <s v="CUST-0170"/>
    <s v="Kartika Putra"/>
    <s v="Corporate"/>
    <s v="Medan"/>
    <s v="Sumatera Utara"/>
    <x v="1"/>
    <x v="0"/>
    <s v="Paper"/>
    <s v="PROD-7955"/>
    <x v="8"/>
    <n v="3"/>
    <n v="55900"/>
    <n v="0"/>
    <n v="167700"/>
    <n v="97778.46"/>
    <n v="69921.539999999994"/>
    <s v="Cash"/>
    <x v="21"/>
    <n v="6"/>
    <n v="0.41694418604651157"/>
  </r>
  <r>
    <s v="ORD-00636"/>
    <d v="2024-02-26T00:00:00"/>
    <d v="2024-03-02T00:00:00"/>
    <s v="CUST-0252"/>
    <s v="Citra Putra"/>
    <s v="Corporate"/>
    <s v="Semarang"/>
    <s v="Jawa Tengah"/>
    <x v="0"/>
    <x v="2"/>
    <s v="Smartphone"/>
    <s v="PROD-6076"/>
    <x v="15"/>
    <n v="2"/>
    <n v="4419800"/>
    <n v="0.1"/>
    <n v="7955640"/>
    <n v="6353905.7699999996"/>
    <n v="1601734.23"/>
    <s v="Cash"/>
    <x v="10"/>
    <n v="5"/>
    <n v="0.20133317118421648"/>
  </r>
  <r>
    <s v="ORD-00637"/>
    <d v="2023-04-17T00:00:00"/>
    <d v="2023-04-23T00:00:00"/>
    <s v="CUST-0102"/>
    <s v="Hadi Hidayat"/>
    <s v="Consumer"/>
    <s v="Bogor"/>
    <s v="Jawa Barat"/>
    <x v="1"/>
    <x v="0"/>
    <s v="Writing"/>
    <s v="PROD-7529"/>
    <x v="0"/>
    <n v="1"/>
    <n v="62400"/>
    <n v="0.15"/>
    <n v="53040"/>
    <n v="33375.56"/>
    <n v="19664.439999999999"/>
    <s v="Credit Card"/>
    <x v="14"/>
    <n v="6"/>
    <n v="0.37074736048265455"/>
  </r>
  <r>
    <s v="ORD-00638"/>
    <d v="2023-12-28T00:00:00"/>
    <d v="2024-01-02T00:00:00"/>
    <s v="CUST-0204"/>
    <s v="Maya Wijaya"/>
    <s v="Consumer"/>
    <s v="Makassar"/>
    <s v="Sulawesi Selatan"/>
    <x v="2"/>
    <x v="2"/>
    <s v="Accessories"/>
    <s v="PROD-3744"/>
    <x v="4"/>
    <n v="1"/>
    <n v="134000"/>
    <n v="0"/>
    <n v="134000"/>
    <n v="83660.31"/>
    <n v="50339.69"/>
    <s v="Credit Card"/>
    <x v="4"/>
    <n v="5"/>
    <n v="0.37566932835820899"/>
  </r>
  <r>
    <s v="ORD-00639"/>
    <d v="2025-08-22T00:00:00"/>
    <d v="2025-08-26T00:00:00"/>
    <s v="CUST-0154"/>
    <s v="Vina Saputra"/>
    <s v="Corporate"/>
    <s v="Malang"/>
    <s v="Jawa Timur"/>
    <x v="2"/>
    <x v="1"/>
    <s v="Storage"/>
    <s v="PROD-7524"/>
    <x v="1"/>
    <n v="1"/>
    <n v="964200"/>
    <n v="0.2"/>
    <n v="771360"/>
    <n v="687554.7"/>
    <n v="83805.3"/>
    <s v="Cash"/>
    <x v="12"/>
    <n v="4"/>
    <n v="0.10864615743621656"/>
  </r>
  <r>
    <s v="ORD-00640"/>
    <d v="2023-11-09T00:00:00"/>
    <d v="2023-11-14T00:00:00"/>
    <s v="CUST-0241"/>
    <s v="Gita Wijaya"/>
    <s v="Consumer"/>
    <s v="Malang"/>
    <s v="Jawa Timur"/>
    <x v="2"/>
    <x v="0"/>
    <s v="Binder"/>
    <s v="PROD-9396"/>
    <x v="21"/>
    <n v="1"/>
    <n v="38900"/>
    <n v="0.05"/>
    <n v="36955"/>
    <n v="19320.080000000002"/>
    <n v="17634.919999999998"/>
    <s v="Cash"/>
    <x v="8"/>
    <n v="5"/>
    <n v="0.47719983764037338"/>
  </r>
  <r>
    <s v="ORD-00641"/>
    <d v="2024-01-24T00:00:00"/>
    <d v="2024-01-25T00:00:00"/>
    <s v="CUST-0037"/>
    <s v="Nadia Siregar"/>
    <s v="Consumer"/>
    <s v="Denpasar"/>
    <s v="Bali"/>
    <x v="2"/>
    <x v="2"/>
    <s v="Accessories"/>
    <s v="PROD-4943"/>
    <x v="2"/>
    <n v="8"/>
    <n v="540100"/>
    <n v="0.05"/>
    <n v="4104760"/>
    <n v="2715440.55"/>
    <n v="1389319.45"/>
    <s v="Cash"/>
    <x v="26"/>
    <n v="1"/>
    <n v="0.3384654523041542"/>
  </r>
  <r>
    <s v="ORD-00642"/>
    <d v="2023-03-21T00:00:00"/>
    <d v="2023-03-22T00:00:00"/>
    <s v="CUST-0251"/>
    <s v="Wulan Mahendra"/>
    <s v="Consumer"/>
    <s v="Bogor"/>
    <s v="Jawa Barat"/>
    <x v="1"/>
    <x v="1"/>
    <s v="Storage"/>
    <s v="PROD-7524"/>
    <x v="1"/>
    <n v="8"/>
    <n v="1048300"/>
    <n v="0.15"/>
    <n v="7128440"/>
    <n v="5676035.9199999999"/>
    <n v="1452404.08"/>
    <s v="Cash"/>
    <x v="24"/>
    <n v="1"/>
    <n v="0.20374781579139337"/>
  </r>
  <r>
    <s v="ORD-00643"/>
    <d v="2025-01-24T00:00:00"/>
    <d v="2025-01-30T00:00:00"/>
    <s v="CUST-0015"/>
    <s v="Zahra Ramadhan"/>
    <s v="Corporate"/>
    <s v="Malang"/>
    <s v="Jawa Timur"/>
    <x v="2"/>
    <x v="2"/>
    <s v="Accessories"/>
    <s v="PROD-1626"/>
    <x v="20"/>
    <n v="2"/>
    <n v="253600"/>
    <n v="0.05"/>
    <n v="481840"/>
    <n v="317056.59999999998"/>
    <n v="164783.4"/>
    <s v="Credit Card"/>
    <x v="17"/>
    <n v="6"/>
    <n v="0.34198779677901375"/>
  </r>
  <r>
    <s v="ORD-00644"/>
    <d v="2023-10-30T00:00:00"/>
    <d v="2023-11-02T00:00:00"/>
    <s v="CUST-0204"/>
    <s v="Zahra Anggraini"/>
    <s v="Consumer"/>
    <s v="Bogor"/>
    <s v="Jawa Barat"/>
    <x v="1"/>
    <x v="1"/>
    <s v="Storage"/>
    <s v="PROD-2602"/>
    <x v="3"/>
    <n v="1"/>
    <n v="930600"/>
    <n v="0.1"/>
    <n v="837540"/>
    <n v="646745.22"/>
    <n v="190794.78"/>
    <s v="Credit Card"/>
    <x v="30"/>
    <n v="3"/>
    <n v="0.22780378250591016"/>
  </r>
  <r>
    <s v="ORD-00645"/>
    <d v="2023-06-14T00:00:00"/>
    <d v="2023-06-19T00:00:00"/>
    <s v="CUST-0158"/>
    <s v="Farhan Hidayat"/>
    <s v="Corporate"/>
    <s v="Bogor"/>
    <s v="Jawa Barat"/>
    <x v="1"/>
    <x v="0"/>
    <s v="Stationery"/>
    <s v="PROD-1004"/>
    <x v="10"/>
    <n v="3"/>
    <n v="27300"/>
    <n v="0.1"/>
    <n v="73710"/>
    <n v="42750.13"/>
    <n v="30959.87"/>
    <s v="E-Wallet"/>
    <x v="9"/>
    <n v="5"/>
    <n v="0.42002265635598968"/>
  </r>
  <r>
    <s v="ORD-00646"/>
    <d v="2023-07-02T00:00:00"/>
    <d v="2023-07-03T00:00:00"/>
    <s v="CUST-0252"/>
    <s v="Aldi Santoso"/>
    <s v="Consumer"/>
    <s v="Bogor"/>
    <s v="Jawa Barat"/>
    <x v="1"/>
    <x v="0"/>
    <s v="Binder"/>
    <s v="PROD-7352"/>
    <x v="16"/>
    <n v="6"/>
    <n v="55300"/>
    <n v="0"/>
    <n v="331800"/>
    <n v="189625.71"/>
    <n v="142174.29"/>
    <s v="Credit Card"/>
    <x v="13"/>
    <n v="1"/>
    <n v="0.42849394213381559"/>
  </r>
  <r>
    <s v="ORD-00647"/>
    <d v="2023-05-24T00:00:00"/>
    <d v="2023-05-31T00:00:00"/>
    <s v="CUST-0258"/>
    <s v="Dewi Kusuma"/>
    <s v="Corporate"/>
    <s v="Yogyakarta"/>
    <s v="DI Yogyakarta"/>
    <x v="0"/>
    <x v="0"/>
    <s v="Stationery"/>
    <s v="PROD-1004"/>
    <x v="10"/>
    <n v="1"/>
    <n v="25400"/>
    <n v="0"/>
    <n v="25400"/>
    <n v="12610.8"/>
    <n v="12789.2"/>
    <s v="Credit Card"/>
    <x v="22"/>
    <n v="7"/>
    <n v="0.50351181102362208"/>
  </r>
  <r>
    <s v="ORD-00648"/>
    <d v="2024-03-11T00:00:00"/>
    <d v="2024-03-13T00:00:00"/>
    <s v="CUST-0041"/>
    <s v="Joko Santoso"/>
    <s v="Consumer"/>
    <s v="Semarang"/>
    <s v="Jawa Tengah"/>
    <x v="0"/>
    <x v="2"/>
    <s v="Smartphone"/>
    <s v="PROD-2176"/>
    <x v="17"/>
    <n v="2"/>
    <n v="3522700"/>
    <n v="0"/>
    <n v="7045400"/>
    <n v="5529791.04"/>
    <n v="1515608.96"/>
    <s v="Cash"/>
    <x v="18"/>
    <n v="2"/>
    <n v="0.21512035654469583"/>
  </r>
  <r>
    <s v="ORD-00649"/>
    <d v="2025-02-12T00:00:00"/>
    <d v="2025-02-13T00:00:00"/>
    <s v="CUST-0004"/>
    <s v="Yoga Anggraini"/>
    <s v="Corporate"/>
    <s v="Jakarta"/>
    <s v="DKI Jakarta"/>
    <x v="1"/>
    <x v="2"/>
    <s v="Accessories"/>
    <s v="PROD-4943"/>
    <x v="2"/>
    <n v="2"/>
    <n v="517600"/>
    <n v="0"/>
    <n v="1035200"/>
    <n v="631933.81000000006"/>
    <n v="403266.19"/>
    <s v="Cash"/>
    <x v="3"/>
    <n v="1"/>
    <n v="0.3895538929675425"/>
  </r>
  <r>
    <s v="ORD-00650"/>
    <d v="2023-03-27T00:00:00"/>
    <d v="2023-03-28T00:00:00"/>
    <s v="CUST-0190"/>
    <s v="Yoga Siregar"/>
    <s v="Corporate"/>
    <s v="Malang"/>
    <s v="Jawa Timur"/>
    <x v="2"/>
    <x v="2"/>
    <s v="Laptop"/>
    <s v="PROD-7745"/>
    <x v="14"/>
    <n v="6"/>
    <n v="8233700"/>
    <n v="0.05"/>
    <n v="46932090"/>
    <n v="38758327.899999999"/>
    <n v="8173762.0999999996"/>
    <s v="E-Wallet"/>
    <x v="24"/>
    <n v="1"/>
    <n v="0.17416147672093868"/>
  </r>
  <r>
    <s v="ORD-00651"/>
    <d v="2024-12-03T00:00:00"/>
    <d v="2024-12-06T00:00:00"/>
    <s v="CUST-0206"/>
    <s v="Farhan Nugroho"/>
    <s v="Consumer"/>
    <s v="Malang"/>
    <s v="Jawa Timur"/>
    <x v="2"/>
    <x v="0"/>
    <s v="Binder"/>
    <s v="PROD-7352"/>
    <x v="16"/>
    <n v="10"/>
    <n v="61200"/>
    <n v="0.15"/>
    <n v="520200"/>
    <n v="308272.07"/>
    <n v="211927.93"/>
    <s v="Bank Transfer"/>
    <x v="23"/>
    <n v="3"/>
    <n v="0.40739702037677816"/>
  </r>
  <r>
    <s v="ORD-00652"/>
    <d v="2023-10-12T00:00:00"/>
    <d v="2023-10-13T00:00:00"/>
    <s v="CUST-0212"/>
    <s v="Yoga Putra"/>
    <s v="Small Business"/>
    <s v="Yogyakarta"/>
    <s v="DI Yogyakarta"/>
    <x v="0"/>
    <x v="1"/>
    <s v="Storage"/>
    <s v="PROD-7524"/>
    <x v="1"/>
    <n v="2"/>
    <n v="1015300"/>
    <n v="0.1"/>
    <n v="1827540"/>
    <n v="1397068.29"/>
    <n v="430471.71"/>
    <s v="Credit Card"/>
    <x v="30"/>
    <n v="1"/>
    <n v="0.23554707968088251"/>
  </r>
  <r>
    <s v="ORD-00653"/>
    <d v="2023-01-07T00:00:00"/>
    <d v="2023-01-13T00:00:00"/>
    <s v="CUST-0249"/>
    <s v="Maya Mahendra"/>
    <s v="Corporate"/>
    <s v="Jakarta"/>
    <s v="DKI Jakarta"/>
    <x v="1"/>
    <x v="0"/>
    <s v="Binder"/>
    <s v="PROD-7352"/>
    <x v="16"/>
    <n v="8"/>
    <n v="59500"/>
    <n v="0.1"/>
    <n v="428400"/>
    <n v="247325.88"/>
    <n v="181074.12"/>
    <s v="Bank Transfer"/>
    <x v="11"/>
    <n v="6"/>
    <n v="0.42267535014005603"/>
  </r>
  <r>
    <s v="ORD-00654"/>
    <d v="2023-06-16T00:00:00"/>
    <d v="2023-06-19T00:00:00"/>
    <s v="CUST-0259"/>
    <s v="Bima Wijaya"/>
    <s v="Corporate"/>
    <s v="Bandung"/>
    <s v="Jawa Barat"/>
    <x v="1"/>
    <x v="1"/>
    <s v="Desk"/>
    <s v="PROD-4040"/>
    <x v="7"/>
    <n v="3"/>
    <n v="3328400"/>
    <n v="0.2"/>
    <n v="7988160"/>
    <n v="7436350.8300000001"/>
    <n v="551809.17000000004"/>
    <s v="E-Wallet"/>
    <x v="9"/>
    <n v="3"/>
    <n v="6.9078382255738494E-2"/>
  </r>
  <r>
    <s v="ORD-00655"/>
    <d v="2025-10-16T00:00:00"/>
    <d v="2025-10-23T00:00:00"/>
    <s v="CUST-0046"/>
    <s v="Dewi Hidayat"/>
    <s v="Small Business"/>
    <s v="Bogor"/>
    <s v="Jawa Barat"/>
    <x v="1"/>
    <x v="2"/>
    <s v="Printer"/>
    <s v="PROD-5410"/>
    <x v="11"/>
    <n v="2"/>
    <n v="1477500"/>
    <n v="0"/>
    <n v="2955000"/>
    <n v="2068359.73"/>
    <n v="886640.27"/>
    <s v="Bank Transfer"/>
    <x v="27"/>
    <n v="7"/>
    <n v="0.30004746869712351"/>
  </r>
  <r>
    <s v="ORD-00656"/>
    <d v="2023-03-01T00:00:00"/>
    <d v="2023-03-03T00:00:00"/>
    <s v="CUST-0070"/>
    <s v="Rian Saputra"/>
    <s v="Corporate"/>
    <s v="Malang"/>
    <s v="Jawa Timur"/>
    <x v="2"/>
    <x v="0"/>
    <s v="Binder"/>
    <s v="PROD-7352"/>
    <x v="16"/>
    <n v="4"/>
    <n v="58600"/>
    <n v="0.25"/>
    <n v="175800"/>
    <n v="128850.72"/>
    <n v="46949.279999999999"/>
    <s v="Credit Card"/>
    <x v="24"/>
    <n v="2"/>
    <n v="0.26706075085324232"/>
  </r>
  <r>
    <s v="ORD-00657"/>
    <d v="2025-10-04T00:00:00"/>
    <d v="2025-10-05T00:00:00"/>
    <s v="CUST-0196"/>
    <s v="Wulan Ramadhan"/>
    <s v="Small Business"/>
    <s v="Semarang"/>
    <s v="Jawa Tengah"/>
    <x v="0"/>
    <x v="0"/>
    <s v="Binder"/>
    <s v="PROD-7352"/>
    <x v="16"/>
    <n v="3"/>
    <n v="55000"/>
    <n v="0.15"/>
    <n v="140250"/>
    <n v="91444.74"/>
    <n v="48805.26"/>
    <s v="Bank Transfer"/>
    <x v="27"/>
    <n v="1"/>
    <n v="0.34798759358288772"/>
  </r>
  <r>
    <s v="ORD-00658"/>
    <d v="2025-06-13T00:00:00"/>
    <d v="2025-06-20T00:00:00"/>
    <s v="CUST-0060"/>
    <s v="Toni Permata"/>
    <s v="Consumer"/>
    <s v="Bandung"/>
    <s v="Jawa Barat"/>
    <x v="1"/>
    <x v="2"/>
    <s v="Accessories"/>
    <s v="PROD-3744"/>
    <x v="4"/>
    <n v="1"/>
    <n v="132900"/>
    <n v="0.25"/>
    <n v="99675"/>
    <n v="80689.460000000006"/>
    <n v="18985.54"/>
    <s v="Bank Transfer"/>
    <x v="7"/>
    <n v="7"/>
    <n v="0.19047444193629295"/>
  </r>
  <r>
    <s v="ORD-00659"/>
    <d v="2023-09-18T00:00:00"/>
    <d v="2023-09-25T00:00:00"/>
    <s v="CUST-0164"/>
    <s v="Nabila Permata"/>
    <s v="Corporate"/>
    <s v="Makassar"/>
    <s v="Sulawesi Selatan"/>
    <x v="2"/>
    <x v="2"/>
    <s v="Accessories"/>
    <s v="PROD-1626"/>
    <x v="20"/>
    <n v="1"/>
    <n v="234100"/>
    <n v="0.2"/>
    <n v="187280"/>
    <n v="151328.85999999999"/>
    <n v="35951.14"/>
    <s v="E-Wallet"/>
    <x v="33"/>
    <n v="7"/>
    <n v="0.19196465185818026"/>
  </r>
  <r>
    <s v="ORD-00660"/>
    <d v="2023-09-16T00:00:00"/>
    <d v="2023-09-21T00:00:00"/>
    <s v="CUST-0234"/>
    <s v="Eka Anggraini"/>
    <s v="Consumer"/>
    <s v="Bandung"/>
    <s v="Jawa Barat"/>
    <x v="1"/>
    <x v="0"/>
    <s v="Writing"/>
    <s v="PROD-7529"/>
    <x v="0"/>
    <n v="2"/>
    <n v="73400"/>
    <n v="0"/>
    <n v="146800"/>
    <n v="77564.289999999994"/>
    <n v="69235.710000000006"/>
    <s v="Cash"/>
    <x v="33"/>
    <n v="5"/>
    <n v="0.47163290190735702"/>
  </r>
  <r>
    <s v="ORD-00661"/>
    <d v="2024-08-03T00:00:00"/>
    <d v="2024-08-05T00:00:00"/>
    <s v="CUST-0111"/>
    <s v="Putri Lestari"/>
    <s v="Consumer"/>
    <s v="Makassar"/>
    <s v="Sulawesi Selatan"/>
    <x v="2"/>
    <x v="0"/>
    <s v="Paper"/>
    <s v="PROD-7955"/>
    <x v="8"/>
    <n v="1"/>
    <n v="63000"/>
    <n v="0.1"/>
    <n v="56700"/>
    <n v="35760.19"/>
    <n v="20939.810000000001"/>
    <s v="Bank Transfer"/>
    <x v="28"/>
    <n v="2"/>
    <n v="0.36930881834215168"/>
  </r>
  <r>
    <s v="ORD-00662"/>
    <d v="2025-02-10T00:00:00"/>
    <d v="2025-02-11T00:00:00"/>
    <s v="CUST-0092"/>
    <s v="Bayu Kusuma"/>
    <s v="Corporate"/>
    <s v="Bogor"/>
    <s v="Jawa Barat"/>
    <x v="1"/>
    <x v="0"/>
    <s v="Binder"/>
    <s v="PROD-7352"/>
    <x v="16"/>
    <n v="5"/>
    <n v="61900"/>
    <n v="0"/>
    <n v="309500"/>
    <n v="171522.27"/>
    <n v="137977.73000000001"/>
    <s v="Credit Card"/>
    <x v="3"/>
    <n v="1"/>
    <n v="0.44580849757673668"/>
  </r>
  <r>
    <s v="ORD-00663"/>
    <d v="2025-03-13T00:00:00"/>
    <d v="2025-03-16T00:00:00"/>
    <s v="CUST-0037"/>
    <s v="Raka Mahendra"/>
    <s v="Corporate"/>
    <s v="Jakarta"/>
    <s v="DKI Jakarta"/>
    <x v="1"/>
    <x v="0"/>
    <s v="Writing"/>
    <s v="PROD-7527"/>
    <x v="5"/>
    <n v="2"/>
    <n v="45200"/>
    <n v="0.05"/>
    <n v="85880"/>
    <n v="47049.23"/>
    <n v="38830.769999999997"/>
    <s v="E-Wallet"/>
    <x v="20"/>
    <n v="3"/>
    <n v="0.45215149045179315"/>
  </r>
  <r>
    <s v="ORD-00664"/>
    <d v="2024-08-02T00:00:00"/>
    <d v="2024-08-05T00:00:00"/>
    <s v="CUST-0156"/>
    <s v="Oki Ramadhan"/>
    <s v="Consumer"/>
    <s v="Medan"/>
    <s v="Sumatera Utara"/>
    <x v="1"/>
    <x v="0"/>
    <s v="Writing"/>
    <s v="PROD-7529"/>
    <x v="0"/>
    <n v="2"/>
    <n v="73000"/>
    <n v="0.2"/>
    <n v="116800"/>
    <n v="75452.72"/>
    <n v="41347.279999999999"/>
    <s v="Credit Card"/>
    <x v="28"/>
    <n v="3"/>
    <n v="0.35400068493150683"/>
  </r>
  <r>
    <s v="ORD-00665"/>
    <d v="2023-12-02T00:00:00"/>
    <d v="2023-12-07T00:00:00"/>
    <s v="CUST-0053"/>
    <s v="Yoga Utami"/>
    <s v="Small Business"/>
    <s v="Yogyakarta"/>
    <s v="DI Yogyakarta"/>
    <x v="0"/>
    <x v="2"/>
    <s v="Printer"/>
    <s v="PROD-5410"/>
    <x v="11"/>
    <n v="1"/>
    <n v="1543700"/>
    <n v="0.15"/>
    <n v="1312145"/>
    <n v="1057210.3600000001"/>
    <n v="254934.64"/>
    <s v="Credit Card"/>
    <x v="4"/>
    <n v="5"/>
    <n v="0.19428846659477422"/>
  </r>
  <r>
    <s v="ORD-00666"/>
    <d v="2023-10-30T00:00:00"/>
    <d v="2023-11-03T00:00:00"/>
    <s v="CUST-0174"/>
    <s v="Toni Hidayat"/>
    <s v="Small Business"/>
    <s v="Bogor"/>
    <s v="Jawa Barat"/>
    <x v="1"/>
    <x v="0"/>
    <s v="Stationery"/>
    <s v="PROD-1004"/>
    <x v="10"/>
    <n v="2"/>
    <n v="27100"/>
    <n v="0.25"/>
    <n v="40650"/>
    <n v="25635.24"/>
    <n v="15014.76"/>
    <s v="Bank Transfer"/>
    <x v="30"/>
    <n v="4"/>
    <n v="0.36936678966789671"/>
  </r>
  <r>
    <s v="ORD-00667"/>
    <d v="2023-11-01T00:00:00"/>
    <d v="2023-11-07T00:00:00"/>
    <s v="CUST-0193"/>
    <s v="Nabila Mahendra"/>
    <s v="Consumer"/>
    <s v="Jakarta"/>
    <s v="DKI Jakarta"/>
    <x v="1"/>
    <x v="0"/>
    <s v="Writing"/>
    <s v="PROD-7529"/>
    <x v="0"/>
    <n v="2"/>
    <n v="71500"/>
    <n v="0.25"/>
    <n v="107250"/>
    <n v="79912.17"/>
    <n v="27337.83"/>
    <s v="Cash"/>
    <x v="8"/>
    <n v="6"/>
    <n v="0.25489818181818186"/>
  </r>
  <r>
    <s v="ORD-00668"/>
    <d v="2023-07-03T00:00:00"/>
    <d v="2023-07-10T00:00:00"/>
    <s v="CUST-0116"/>
    <s v="Aldi Anggraini"/>
    <s v="Consumer"/>
    <s v="Malang"/>
    <s v="Jawa Timur"/>
    <x v="2"/>
    <x v="1"/>
    <s v="Storage"/>
    <s v="PROD-2602"/>
    <x v="3"/>
    <n v="2"/>
    <n v="806000"/>
    <n v="0"/>
    <n v="1612000"/>
    <n v="1062048.3999999999"/>
    <n v="549951.6"/>
    <s v="Cash"/>
    <x v="13"/>
    <n v="7"/>
    <n v="0.34116104218362281"/>
  </r>
  <r>
    <s v="ORD-00669"/>
    <d v="2025-09-09T00:00:00"/>
    <d v="2025-09-12T00:00:00"/>
    <s v="CUST-0167"/>
    <s v="Citra Mahendra"/>
    <s v="Consumer"/>
    <s v="Makassar"/>
    <s v="Sulawesi Selatan"/>
    <x v="2"/>
    <x v="0"/>
    <s v="Paper"/>
    <s v="PROD-9601"/>
    <x v="9"/>
    <n v="10"/>
    <n v="80100"/>
    <n v="0"/>
    <n v="801000"/>
    <n v="448914.7"/>
    <n v="352085.3"/>
    <s v="Cash"/>
    <x v="32"/>
    <n v="3"/>
    <n v="0.43955717852684145"/>
  </r>
  <r>
    <s v="ORD-00670"/>
    <d v="2024-01-14T00:00:00"/>
    <d v="2024-01-18T00:00:00"/>
    <s v="CUST-0064"/>
    <s v="Nabila Utami"/>
    <s v="Corporate"/>
    <s v="Malang"/>
    <s v="Jawa Timur"/>
    <x v="2"/>
    <x v="0"/>
    <s v="Paper"/>
    <s v="PROD-7955"/>
    <x v="8"/>
    <n v="1"/>
    <n v="62900"/>
    <n v="0.1"/>
    <n v="56610"/>
    <n v="36547.800000000003"/>
    <n v="20062.2"/>
    <s v="Cash"/>
    <x v="26"/>
    <n v="4"/>
    <n v="0.35439321674615792"/>
  </r>
  <r>
    <s v="ORD-00671"/>
    <d v="2024-02-29T00:00:00"/>
    <d v="2024-03-06T00:00:00"/>
    <s v="CUST-0106"/>
    <s v="Wulan Wijaya"/>
    <s v="Corporate"/>
    <s v="Makassar"/>
    <s v="Sulawesi Selatan"/>
    <x v="2"/>
    <x v="0"/>
    <s v="Writing"/>
    <s v="PROD-7527"/>
    <x v="5"/>
    <n v="3"/>
    <n v="48400"/>
    <n v="0"/>
    <n v="145200"/>
    <n v="72993.2"/>
    <n v="72206.8"/>
    <s v="Bank Transfer"/>
    <x v="10"/>
    <n v="6"/>
    <n v="0.49729201101928378"/>
  </r>
  <r>
    <s v="ORD-00672"/>
    <d v="2023-06-29T00:00:00"/>
    <d v="2023-07-04T00:00:00"/>
    <s v="CUST-0001"/>
    <s v="Hadi Lestari"/>
    <s v="Small Business"/>
    <s v="Bandung"/>
    <s v="Jawa Barat"/>
    <x v="1"/>
    <x v="2"/>
    <s v="Laptop"/>
    <s v="PROD-7745"/>
    <x v="14"/>
    <n v="2"/>
    <n v="8362100"/>
    <n v="0.05"/>
    <n v="15887990"/>
    <n v="13995582.689999999"/>
    <n v="1892407.31"/>
    <s v="E-Wallet"/>
    <x v="9"/>
    <n v="5"/>
    <n v="0.11910929639306168"/>
  </r>
  <r>
    <s v="ORD-00673"/>
    <d v="2023-04-05T00:00:00"/>
    <d v="2023-04-10T00:00:00"/>
    <s v="CUST-0108"/>
    <s v="Zahra Santoso"/>
    <s v="Consumer"/>
    <s v="Medan"/>
    <s v="Sumatera Utara"/>
    <x v="1"/>
    <x v="0"/>
    <s v="Binder"/>
    <s v="PROD-9396"/>
    <x v="21"/>
    <n v="3"/>
    <n v="38600"/>
    <n v="0.3"/>
    <n v="81060"/>
    <n v="57655.39"/>
    <n v="23404.61"/>
    <s v="Cash"/>
    <x v="14"/>
    <n v="5"/>
    <n v="0.28873192696767824"/>
  </r>
  <r>
    <s v="ORD-00674"/>
    <d v="2023-04-02T00:00:00"/>
    <d v="2023-04-04T00:00:00"/>
    <s v="CUST-0066"/>
    <s v="Farhan Anggraini"/>
    <s v="Small Business"/>
    <s v="Yogyakarta"/>
    <s v="DI Yogyakarta"/>
    <x v="0"/>
    <x v="2"/>
    <s v="Smartphone"/>
    <s v="PROD-2176"/>
    <x v="17"/>
    <n v="8"/>
    <n v="3303900"/>
    <n v="0"/>
    <n v="26431200"/>
    <n v="20020990.079999998"/>
    <n v="6410209.9199999999"/>
    <s v="Credit Card"/>
    <x v="14"/>
    <n v="2"/>
    <n v="0.24252436211749751"/>
  </r>
  <r>
    <s v="ORD-00675"/>
    <d v="2025-05-14T00:00:00"/>
    <d v="2025-05-15T00:00:00"/>
    <s v="CUST-0074"/>
    <s v="Sari Putra"/>
    <s v="Corporate"/>
    <s v="Malang"/>
    <s v="Jawa Timur"/>
    <x v="2"/>
    <x v="1"/>
    <s v="Desk"/>
    <s v="PROD-6903"/>
    <x v="13"/>
    <n v="2"/>
    <n v="1147900"/>
    <n v="0"/>
    <n v="2295800"/>
    <n v="1546330.14"/>
    <n v="749469.86"/>
    <s v="Credit Card"/>
    <x v="6"/>
    <n v="1"/>
    <n v="0.32645259168917151"/>
  </r>
  <r>
    <s v="ORD-00676"/>
    <d v="2023-05-25T00:00:00"/>
    <d v="2023-05-31T00:00:00"/>
    <s v="CUST-0014"/>
    <s v="Vina Putra"/>
    <s v="Corporate"/>
    <s v="Surabaya"/>
    <s v="Jawa Timur"/>
    <x v="2"/>
    <x v="0"/>
    <s v="Writing"/>
    <s v="PROD-7529"/>
    <x v="0"/>
    <n v="2"/>
    <n v="63500"/>
    <n v="0.3"/>
    <n v="88900"/>
    <n v="69016.960000000006"/>
    <n v="19883.04"/>
    <s v="Credit Card"/>
    <x v="22"/>
    <n v="6"/>
    <n v="0.2236562429696288"/>
  </r>
  <r>
    <s v="ORD-00677"/>
    <d v="2023-06-08T00:00:00"/>
    <d v="2023-06-11T00:00:00"/>
    <s v="CUST-0116"/>
    <s v="Indra Pratama"/>
    <s v="Consumer"/>
    <s v="Medan"/>
    <s v="Sumatera Utara"/>
    <x v="1"/>
    <x v="2"/>
    <s v="Laptop"/>
    <s v="PROD-8448"/>
    <x v="12"/>
    <n v="3"/>
    <n v="5976900"/>
    <n v="0.05"/>
    <n v="17034165"/>
    <n v="14136892.23"/>
    <n v="2897272.77"/>
    <s v="E-Wallet"/>
    <x v="9"/>
    <n v="3"/>
    <n v="0.17008598719103638"/>
  </r>
  <r>
    <s v="ORD-00678"/>
    <d v="2023-07-20T00:00:00"/>
    <d v="2023-07-24T00:00:00"/>
    <s v="CUST-0251"/>
    <s v="Dewi Saputra"/>
    <s v="Small Business"/>
    <s v="Malang"/>
    <s v="Jawa Timur"/>
    <x v="2"/>
    <x v="0"/>
    <s v="Writing"/>
    <s v="PROD-7529"/>
    <x v="0"/>
    <n v="1"/>
    <n v="72100"/>
    <n v="0"/>
    <n v="72100"/>
    <n v="41144.46"/>
    <n v="30955.54"/>
    <s v="Bank Transfer"/>
    <x v="13"/>
    <n v="4"/>
    <n v="0.42934174757281557"/>
  </r>
  <r>
    <s v="ORD-00679"/>
    <d v="2024-12-15T00:00:00"/>
    <d v="2024-12-21T00:00:00"/>
    <s v="CUST-0177"/>
    <s v="Rizky Mahendra"/>
    <s v="Consumer"/>
    <s v="Medan"/>
    <s v="Sumatera Utara"/>
    <x v="1"/>
    <x v="1"/>
    <s v="Desk"/>
    <s v="PROD-6903"/>
    <x v="13"/>
    <n v="6"/>
    <n v="1172000"/>
    <n v="0.25"/>
    <n v="5274000"/>
    <n v="4714470.55"/>
    <n v="559529.44999999995"/>
    <s v="Bank Transfer"/>
    <x v="23"/>
    <n v="6"/>
    <n v="0.10609204588547591"/>
  </r>
  <r>
    <s v="ORD-00680"/>
    <d v="2025-12-24T00:00:00"/>
    <d v="2025-12-29T00:00:00"/>
    <s v="CUST-0194"/>
    <s v="Toni Mahendra"/>
    <s v="Corporate"/>
    <s v="Denpasar"/>
    <s v="Bali"/>
    <x v="2"/>
    <x v="1"/>
    <s v="Desk"/>
    <s v="PROD-4040"/>
    <x v="7"/>
    <n v="1"/>
    <n v="3190900"/>
    <n v="0"/>
    <n v="3190900"/>
    <n v="2158642.3199999998"/>
    <n v="1032257.68"/>
    <s v="E-Wallet"/>
    <x v="25"/>
    <n v="5"/>
    <n v="0.32350047948854554"/>
  </r>
  <r>
    <s v="ORD-00681"/>
    <d v="2024-07-01T00:00:00"/>
    <d v="2024-07-02T00:00:00"/>
    <s v="CUST-0258"/>
    <s v="Joko Lestari"/>
    <s v="Corporate"/>
    <s v="Semarang"/>
    <s v="Jawa Tengah"/>
    <x v="0"/>
    <x v="0"/>
    <s v="Binder"/>
    <s v="PROD-7352"/>
    <x v="16"/>
    <n v="3"/>
    <n v="52700"/>
    <n v="0.3"/>
    <n v="110670"/>
    <n v="88301.14"/>
    <n v="22368.86"/>
    <s v="Cash"/>
    <x v="29"/>
    <n v="1"/>
    <n v="0.20212216499503027"/>
  </r>
  <r>
    <s v="ORD-00682"/>
    <d v="2025-05-26T00:00:00"/>
    <d v="2025-05-31T00:00:00"/>
    <s v="CUST-0041"/>
    <s v="Citra Mahendra"/>
    <s v="Corporate"/>
    <s v="Yogyakarta"/>
    <s v="DI Yogyakarta"/>
    <x v="0"/>
    <x v="0"/>
    <s v="Writing"/>
    <s v="PROD-7529"/>
    <x v="0"/>
    <n v="8"/>
    <n v="67300"/>
    <n v="0"/>
    <n v="538400"/>
    <n v="279606.13"/>
    <n v="258793.87"/>
    <s v="Bank Transfer"/>
    <x v="6"/>
    <n v="5"/>
    <n v="0.48067212109955421"/>
  </r>
  <r>
    <s v="ORD-00683"/>
    <d v="2024-05-06T00:00:00"/>
    <d v="2024-05-07T00:00:00"/>
    <s v="CUST-0070"/>
    <s v="Putri Kusuma"/>
    <s v="Corporate"/>
    <s v="Bandung"/>
    <s v="Jawa Barat"/>
    <x v="1"/>
    <x v="2"/>
    <s v="Laptop"/>
    <s v="PROD-7745"/>
    <x v="14"/>
    <n v="4"/>
    <n v="7399300"/>
    <n v="0.25"/>
    <n v="22197900"/>
    <n v="23963407.09"/>
    <n v="-1765507.09"/>
    <s v="Cash"/>
    <x v="15"/>
    <n v="1"/>
    <n v="-7.9534869965176891E-2"/>
  </r>
  <r>
    <s v="ORD-00684"/>
    <d v="2025-11-20T00:00:00"/>
    <d v="2025-11-26T00:00:00"/>
    <s v="CUST-0177"/>
    <s v="Hadi Mahendra"/>
    <s v="Consumer"/>
    <s v="Malang"/>
    <s v="Jawa Timur"/>
    <x v="2"/>
    <x v="0"/>
    <s v="Paper"/>
    <s v="PROD-9601"/>
    <x v="9"/>
    <n v="6"/>
    <n v="80900"/>
    <n v="0.15"/>
    <n v="412590"/>
    <n v="293169.67"/>
    <n v="119420.33"/>
    <s v="Credit Card"/>
    <x v="34"/>
    <n v="6"/>
    <n v="0.28944067960929737"/>
  </r>
  <r>
    <s v="ORD-00685"/>
    <d v="2025-12-17T00:00:00"/>
    <d v="2025-12-23T00:00:00"/>
    <s v="CUST-0027"/>
    <s v="Nadia Kusuma"/>
    <s v="Small Business"/>
    <s v="Denpasar"/>
    <s v="Bali"/>
    <x v="2"/>
    <x v="1"/>
    <s v="Storage"/>
    <s v="PROD-7524"/>
    <x v="1"/>
    <n v="1"/>
    <n v="961100"/>
    <n v="0"/>
    <n v="961100"/>
    <n v="650886.68999999994"/>
    <n v="310213.31"/>
    <s v="Credit Card"/>
    <x v="25"/>
    <n v="6"/>
    <n v="0.32276902507543437"/>
  </r>
  <r>
    <s v="ORD-00686"/>
    <d v="2025-02-15T00:00:00"/>
    <d v="2025-02-17T00:00:00"/>
    <s v="CUST-0248"/>
    <s v="Joko Lestari"/>
    <s v="Small Business"/>
    <s v="Surabaya"/>
    <s v="Jawa Timur"/>
    <x v="2"/>
    <x v="1"/>
    <s v="Chair"/>
    <s v="PROD-9951"/>
    <x v="19"/>
    <n v="5"/>
    <n v="1902500"/>
    <n v="0.2"/>
    <n v="7610000"/>
    <n v="6201080.3600000003"/>
    <n v="1408919.64"/>
    <s v="Credit Card"/>
    <x v="3"/>
    <n v="2"/>
    <n v="0.18514055716162942"/>
  </r>
  <r>
    <s v="ORD-00687"/>
    <d v="2024-03-12T00:00:00"/>
    <d v="2024-03-13T00:00:00"/>
    <s v="CUST-0004"/>
    <s v="Vina Kusuma"/>
    <s v="Small Business"/>
    <s v="Semarang"/>
    <s v="Jawa Tengah"/>
    <x v="0"/>
    <x v="0"/>
    <s v="Stationery"/>
    <s v="PROD-1004"/>
    <x v="10"/>
    <n v="6"/>
    <n v="29600"/>
    <n v="0.2"/>
    <n v="142080"/>
    <n v="83323.27"/>
    <n v="58756.73"/>
    <s v="Bank Transfer"/>
    <x v="18"/>
    <n v="1"/>
    <n v="0.41354680461711713"/>
  </r>
  <r>
    <s v="ORD-00688"/>
    <d v="2024-11-03T00:00:00"/>
    <d v="2024-11-06T00:00:00"/>
    <s v="CUST-0079"/>
    <s v="Nadia Santoso"/>
    <s v="Small Business"/>
    <s v="Surabaya"/>
    <s v="Jawa Timur"/>
    <x v="2"/>
    <x v="1"/>
    <s v="Chair"/>
    <s v="PROD-9951"/>
    <x v="19"/>
    <n v="2"/>
    <n v="1578400"/>
    <n v="0.05"/>
    <n v="2998960"/>
    <n v="2032819.19"/>
    <n v="966140.81"/>
    <s v="Credit Card"/>
    <x v="2"/>
    <n v="3"/>
    <n v="0.322158618321018"/>
  </r>
  <r>
    <s v="ORD-00689"/>
    <d v="2025-09-25T00:00:00"/>
    <d v="2025-09-26T00:00:00"/>
    <s v="CUST-0056"/>
    <s v="Oki Ramadhan"/>
    <s v="Consumer"/>
    <s v="Semarang"/>
    <s v="Jawa Tengah"/>
    <x v="0"/>
    <x v="2"/>
    <s v="Accessories"/>
    <s v="PROD-3744"/>
    <x v="4"/>
    <n v="1"/>
    <n v="124300"/>
    <n v="0"/>
    <n v="124300"/>
    <n v="76095.27"/>
    <n v="48204.73"/>
    <s v="E-Wallet"/>
    <x v="32"/>
    <n v="1"/>
    <n v="0.38780957361222851"/>
  </r>
  <r>
    <s v="ORD-00690"/>
    <d v="2025-06-18T00:00:00"/>
    <d v="2025-06-20T00:00:00"/>
    <s v="CUST-0170"/>
    <s v="Dinda Pratama"/>
    <s v="Consumer"/>
    <s v="Jakarta"/>
    <s v="DKI Jakarta"/>
    <x v="1"/>
    <x v="2"/>
    <s v="Accessories"/>
    <s v="PROD-1626"/>
    <x v="20"/>
    <n v="1"/>
    <n v="221400"/>
    <n v="0"/>
    <n v="221400"/>
    <n v="133469.29999999999"/>
    <n v="87930.7"/>
    <s v="Credit Card"/>
    <x v="7"/>
    <n v="2"/>
    <n v="0.39715763324299908"/>
  </r>
  <r>
    <s v="ORD-00691"/>
    <d v="2023-11-25T00:00:00"/>
    <d v="2023-12-01T00:00:00"/>
    <s v="CUST-0205"/>
    <s v="Raka Mahendra"/>
    <s v="Consumer"/>
    <s v="Yogyakarta"/>
    <s v="DI Yogyakarta"/>
    <x v="0"/>
    <x v="2"/>
    <s v="Printer"/>
    <s v="PROD-5410"/>
    <x v="11"/>
    <n v="3"/>
    <n v="1560100"/>
    <n v="0.15"/>
    <n v="3978255"/>
    <n v="3343650.73"/>
    <n v="634604.27"/>
    <s v="Cash"/>
    <x v="8"/>
    <n v="6"/>
    <n v="0.1595182485788367"/>
  </r>
  <r>
    <s v="ORD-00692"/>
    <d v="2025-03-07T00:00:00"/>
    <d v="2025-03-09T00:00:00"/>
    <s v="CUST-0176"/>
    <s v="Nadia Anggraini"/>
    <s v="Consumer"/>
    <s v="Jakarta"/>
    <s v="DKI Jakarta"/>
    <x v="1"/>
    <x v="2"/>
    <s v="Laptop"/>
    <s v="PROD-8448"/>
    <x v="12"/>
    <n v="2"/>
    <n v="6519800"/>
    <n v="0"/>
    <n v="13039600"/>
    <n v="10829965.1"/>
    <n v="2209634.9"/>
    <s v="E-Wallet"/>
    <x v="20"/>
    <n v="2"/>
    <n v="0.16945572716954507"/>
  </r>
  <r>
    <s v="ORD-00693"/>
    <d v="2023-01-17T00:00:00"/>
    <d v="2023-01-21T00:00:00"/>
    <s v="CUST-0059"/>
    <s v="Bayu Lestari"/>
    <s v="Consumer"/>
    <s v="Denpasar"/>
    <s v="Bali"/>
    <x v="2"/>
    <x v="1"/>
    <s v="Desk"/>
    <s v="PROD-6903"/>
    <x v="13"/>
    <n v="1"/>
    <n v="1166900"/>
    <n v="0.05"/>
    <n v="1108555"/>
    <n v="768086.9"/>
    <n v="340468.1"/>
    <s v="Cash"/>
    <x v="11"/>
    <n v="4"/>
    <n v="0.30712783759037665"/>
  </r>
  <r>
    <s v="ORD-00694"/>
    <d v="2024-05-21T00:00:00"/>
    <d v="2024-05-27T00:00:00"/>
    <s v="CUST-0077"/>
    <s v="Hadi Santoso"/>
    <s v="Corporate"/>
    <s v="Denpasar"/>
    <s v="Bali"/>
    <x v="2"/>
    <x v="0"/>
    <s v="Writing"/>
    <s v="PROD-7529"/>
    <x v="0"/>
    <n v="3"/>
    <n v="68700"/>
    <n v="0"/>
    <n v="206100"/>
    <n v="120089.76"/>
    <n v="86010.240000000005"/>
    <s v="Bank Transfer"/>
    <x v="15"/>
    <n v="6"/>
    <n v="0.41732285298398836"/>
  </r>
  <r>
    <s v="ORD-00695"/>
    <d v="2023-09-28T00:00:00"/>
    <d v="2023-10-02T00:00:00"/>
    <s v="CUST-0119"/>
    <s v="Hadi Permata"/>
    <s v="Consumer"/>
    <s v="Bogor"/>
    <s v="Jawa Barat"/>
    <x v="1"/>
    <x v="2"/>
    <s v="Smartphone"/>
    <s v="PROD-6076"/>
    <x v="15"/>
    <n v="1"/>
    <n v="4282700"/>
    <n v="0.05"/>
    <n v="4068565"/>
    <n v="3179384.32"/>
    <n v="889180.68"/>
    <s v="Credit Card"/>
    <x v="33"/>
    <n v="4"/>
    <n v="0.21854896751065794"/>
  </r>
  <r>
    <s v="ORD-00696"/>
    <d v="2025-05-22T00:00:00"/>
    <d v="2025-05-26T00:00:00"/>
    <s v="CUST-0025"/>
    <s v="Fajar Pratama"/>
    <s v="Consumer"/>
    <s v="Jakarta"/>
    <s v="DKI Jakarta"/>
    <x v="1"/>
    <x v="2"/>
    <s v="Accessories"/>
    <s v="PROD-1626"/>
    <x v="20"/>
    <n v="2"/>
    <n v="254700"/>
    <n v="0.15"/>
    <n v="432990"/>
    <n v="300170.84999999998"/>
    <n v="132819.15"/>
    <s v="E-Wallet"/>
    <x v="6"/>
    <n v="4"/>
    <n v="0.30674877017944985"/>
  </r>
  <r>
    <s v="ORD-00697"/>
    <d v="2023-01-02T00:00:00"/>
    <d v="2023-01-03T00:00:00"/>
    <s v="CUST-0187"/>
    <s v="Kartika Lestari"/>
    <s v="Consumer"/>
    <s v="Semarang"/>
    <s v="Jawa Tengah"/>
    <x v="0"/>
    <x v="0"/>
    <s v="Binder"/>
    <s v="PROD-7352"/>
    <x v="16"/>
    <n v="6"/>
    <n v="51600"/>
    <n v="0"/>
    <n v="309600"/>
    <n v="176112.81"/>
    <n v="133487.19"/>
    <s v="E-Wallet"/>
    <x v="11"/>
    <n v="1"/>
    <n v="0.43116017441860466"/>
  </r>
  <r>
    <s v="ORD-00698"/>
    <d v="2023-08-17T00:00:00"/>
    <d v="2023-08-18T00:00:00"/>
    <s v="CUST-0142"/>
    <s v="Gita Anggraini"/>
    <s v="Consumer"/>
    <s v="Surabaya"/>
    <s v="Jawa Timur"/>
    <x v="2"/>
    <x v="0"/>
    <s v="Writing"/>
    <s v="PROD-7527"/>
    <x v="5"/>
    <n v="4"/>
    <n v="46300"/>
    <n v="0.1"/>
    <n v="166680"/>
    <n v="94471.6"/>
    <n v="72208.399999999994"/>
    <s v="E-Wallet"/>
    <x v="0"/>
    <n v="1"/>
    <n v="0.43321574274058072"/>
  </r>
  <r>
    <s v="ORD-00699"/>
    <d v="2025-02-25T00:00:00"/>
    <d v="2025-02-26T00:00:00"/>
    <s v="CUST-0176"/>
    <s v="Joko Mahendra"/>
    <s v="Consumer"/>
    <s v="Makassar"/>
    <s v="Sulawesi Selatan"/>
    <x v="2"/>
    <x v="0"/>
    <s v="Writing"/>
    <s v="PROD-7527"/>
    <x v="5"/>
    <n v="1"/>
    <n v="44900"/>
    <n v="0"/>
    <n v="44900"/>
    <n v="25039.24"/>
    <n v="19860.759999999998"/>
    <s v="Credit Card"/>
    <x v="3"/>
    <n v="1"/>
    <n v="0.44233318485523382"/>
  </r>
  <r>
    <s v="ORD-00700"/>
    <d v="2025-08-29T00:00:00"/>
    <d v="2025-09-05T00:00:00"/>
    <s v="CUST-0178"/>
    <s v="Dinda Permata"/>
    <s v="Consumer"/>
    <s v="Jakarta"/>
    <s v="DKI Jakarta"/>
    <x v="1"/>
    <x v="2"/>
    <s v="Smartphone"/>
    <s v="PROD-2176"/>
    <x v="17"/>
    <n v="3"/>
    <n v="3057800"/>
    <n v="0.2"/>
    <n v="7338720"/>
    <n v="7396693.1699999999"/>
    <n v="-57973.17"/>
    <s v="Cash"/>
    <x v="12"/>
    <n v="7"/>
    <n v="-7.899629635685787E-3"/>
  </r>
  <r>
    <s v="ORD-00701"/>
    <d v="2025-07-07T00:00:00"/>
    <d v="2025-07-13T00:00:00"/>
    <s v="CUST-0032"/>
    <s v="Rizky Mahendra"/>
    <s v="Consumer"/>
    <s v="Bandung"/>
    <s v="Jawa Barat"/>
    <x v="1"/>
    <x v="0"/>
    <s v="Stationery"/>
    <s v="PROD-1004"/>
    <x v="10"/>
    <n v="1"/>
    <n v="25900"/>
    <n v="0.25"/>
    <n v="19425"/>
    <n v="12534.33"/>
    <n v="6890.67"/>
    <s v="Bank Transfer"/>
    <x v="19"/>
    <n v="6"/>
    <n v="0.35473204633204636"/>
  </r>
  <r>
    <s v="ORD-00702"/>
    <d v="2024-01-25T00:00:00"/>
    <d v="2024-01-31T00:00:00"/>
    <s v="CUST-0206"/>
    <s v="Vina Lestari"/>
    <s v="Small Business"/>
    <s v="Medan"/>
    <s v="Sumatera Utara"/>
    <x v="1"/>
    <x v="0"/>
    <s v="Stationery"/>
    <s v="PROD-5388"/>
    <x v="18"/>
    <n v="1"/>
    <n v="122500"/>
    <n v="0.05"/>
    <n v="116375"/>
    <n v="73408.31"/>
    <n v="42966.69"/>
    <s v="Bank Transfer"/>
    <x v="26"/>
    <n v="6"/>
    <n v="0.36920893662728249"/>
  </r>
  <r>
    <s v="ORD-00703"/>
    <d v="2024-02-28T00:00:00"/>
    <d v="2024-03-01T00:00:00"/>
    <s v="CUST-0152"/>
    <s v="Zahra Lestari"/>
    <s v="Corporate"/>
    <s v="Makassar"/>
    <s v="Sulawesi Selatan"/>
    <x v="2"/>
    <x v="2"/>
    <s v="Smartphone"/>
    <s v="PROD-6076"/>
    <x v="15"/>
    <n v="2"/>
    <n v="4975100"/>
    <n v="0"/>
    <n v="9950200"/>
    <n v="7916541.5099999998"/>
    <n v="2033658.49"/>
    <s v="Cash"/>
    <x v="10"/>
    <n v="2"/>
    <n v="0.20438367972503066"/>
  </r>
  <r>
    <s v="ORD-00704"/>
    <d v="2023-09-01T00:00:00"/>
    <d v="2023-09-03T00:00:00"/>
    <s v="CUST-0027"/>
    <s v="Wulan Putra"/>
    <s v="Consumer"/>
    <s v="Yogyakarta"/>
    <s v="DI Yogyakarta"/>
    <x v="0"/>
    <x v="2"/>
    <s v="Smartphone"/>
    <s v="PROD-6076"/>
    <x v="15"/>
    <n v="8"/>
    <n v="4517200"/>
    <n v="0"/>
    <n v="36137600"/>
    <n v="28825331.079999998"/>
    <n v="7312268.9199999999"/>
    <s v="Credit Card"/>
    <x v="33"/>
    <n v="2"/>
    <n v="0.20234517289471354"/>
  </r>
  <r>
    <s v="ORD-00705"/>
    <d v="2024-03-06T00:00:00"/>
    <d v="2024-03-11T00:00:00"/>
    <s v="CUST-0210"/>
    <s v="Dinda Anggraini"/>
    <s v="Small Business"/>
    <s v="Makassar"/>
    <s v="Sulawesi Selatan"/>
    <x v="2"/>
    <x v="2"/>
    <s v="Accessories"/>
    <s v="PROD-4943"/>
    <x v="2"/>
    <n v="1"/>
    <n v="511800"/>
    <n v="0.1"/>
    <n v="460620"/>
    <n v="331236.76"/>
    <n v="129383.24"/>
    <s v="E-Wallet"/>
    <x v="18"/>
    <n v="5"/>
    <n v="0.28088932308627501"/>
  </r>
  <r>
    <s v="ORD-00706"/>
    <d v="2024-08-26T00:00:00"/>
    <d v="2024-08-29T00:00:00"/>
    <s v="CUST-0055"/>
    <s v="Farhan Mahendra"/>
    <s v="Consumer"/>
    <s v="Surabaya"/>
    <s v="Jawa Timur"/>
    <x v="2"/>
    <x v="0"/>
    <s v="Paper"/>
    <s v="PROD-7955"/>
    <x v="8"/>
    <n v="1"/>
    <n v="64600"/>
    <n v="0.1"/>
    <n v="58140"/>
    <n v="38274.31"/>
    <n v="19865.689999999999"/>
    <s v="E-Wallet"/>
    <x v="28"/>
    <n v="3"/>
    <n v="0.34168713450292393"/>
  </r>
  <r>
    <s v="ORD-00707"/>
    <d v="2025-02-21T00:00:00"/>
    <d v="2025-02-27T00:00:00"/>
    <s v="CUST-0229"/>
    <s v="Hadi Mahendra"/>
    <s v="Consumer"/>
    <s v="Denpasar"/>
    <s v="Bali"/>
    <x v="2"/>
    <x v="2"/>
    <s v="Smartphone"/>
    <s v="PROD-6076"/>
    <x v="15"/>
    <n v="1"/>
    <n v="4881200"/>
    <n v="0.2"/>
    <n v="3904960"/>
    <n v="3666062.76"/>
    <n v="238897.24"/>
    <s v="E-Wallet"/>
    <x v="3"/>
    <n v="6"/>
    <n v="6.1177896828648694E-2"/>
  </r>
  <r>
    <s v="ORD-00708"/>
    <d v="2025-06-07T00:00:00"/>
    <d v="2025-06-10T00:00:00"/>
    <s v="CUST-0093"/>
    <s v="Wulan Lestari"/>
    <s v="Consumer"/>
    <s v="Bandung"/>
    <s v="Jawa Barat"/>
    <x v="1"/>
    <x v="2"/>
    <s v="Printer"/>
    <s v="PROD-5410"/>
    <x v="11"/>
    <n v="1"/>
    <n v="1580100"/>
    <n v="0"/>
    <n v="1580100"/>
    <n v="1153334.77"/>
    <n v="426765.23"/>
    <s v="Cash"/>
    <x v="7"/>
    <n v="3"/>
    <n v="0.27008748180494901"/>
  </r>
  <r>
    <s v="ORD-00709"/>
    <d v="2023-02-13T00:00:00"/>
    <d v="2023-02-16T00:00:00"/>
    <s v="CUST-0207"/>
    <s v="Dewi Mahendra"/>
    <s v="Corporate"/>
    <s v="Malang"/>
    <s v="Jawa Timur"/>
    <x v="2"/>
    <x v="2"/>
    <s v="Smartphone"/>
    <s v="PROD-2176"/>
    <x v="17"/>
    <n v="1"/>
    <n v="2930700"/>
    <n v="0"/>
    <n v="2930700"/>
    <n v="2379207.17"/>
    <n v="551492.82999999996"/>
    <s v="Credit Card"/>
    <x v="31"/>
    <n v="3"/>
    <n v="0.18817785170778312"/>
  </r>
  <r>
    <s v="ORD-00710"/>
    <d v="2025-12-14T00:00:00"/>
    <d v="2025-12-16T00:00:00"/>
    <s v="CUST-0023"/>
    <s v="Eka Putra"/>
    <s v="Consumer"/>
    <s v="Makassar"/>
    <s v="Sulawesi Selatan"/>
    <x v="2"/>
    <x v="0"/>
    <s v="Paper"/>
    <s v="PROD-7955"/>
    <x v="8"/>
    <n v="1"/>
    <n v="62700"/>
    <n v="0.15"/>
    <n v="53295"/>
    <n v="35650"/>
    <n v="17645"/>
    <s v="Cash"/>
    <x v="25"/>
    <n v="2"/>
    <n v="0.33108171498264377"/>
  </r>
  <r>
    <s v="ORD-00711"/>
    <d v="2023-06-21T00:00:00"/>
    <d v="2023-06-24T00:00:00"/>
    <s v="CUST-0072"/>
    <s v="Putri Utami"/>
    <s v="Small Business"/>
    <s v="Jakarta"/>
    <s v="DKI Jakarta"/>
    <x v="1"/>
    <x v="2"/>
    <s v="Laptop"/>
    <s v="PROD-7745"/>
    <x v="14"/>
    <n v="2"/>
    <n v="8856100"/>
    <n v="0.2"/>
    <n v="14169760"/>
    <n v="13277339.140000001"/>
    <n v="892420.86"/>
    <s v="Bank Transfer"/>
    <x v="9"/>
    <n v="3"/>
    <n v="6.2980661634353716E-2"/>
  </r>
  <r>
    <s v="ORD-00712"/>
    <d v="2025-06-28T00:00:00"/>
    <d v="2025-07-05T00:00:00"/>
    <s v="CUST-0023"/>
    <s v="Dewi Saputra"/>
    <s v="Consumer"/>
    <s v="Denpasar"/>
    <s v="Bali"/>
    <x v="2"/>
    <x v="2"/>
    <s v="Accessories"/>
    <s v="PROD-4943"/>
    <x v="2"/>
    <n v="2"/>
    <n v="465000"/>
    <n v="0.1"/>
    <n v="837000"/>
    <n v="549359.69999999995"/>
    <n v="287640.3"/>
    <s v="Bank Transfer"/>
    <x v="7"/>
    <n v="7"/>
    <n v="0.3436562724014337"/>
  </r>
  <r>
    <s v="ORD-00713"/>
    <d v="2024-08-30T00:00:00"/>
    <d v="2024-08-31T00:00:00"/>
    <s v="CUST-0116"/>
    <s v="Rian Siregar"/>
    <s v="Consumer"/>
    <s v="Bogor"/>
    <s v="Jawa Barat"/>
    <x v="1"/>
    <x v="1"/>
    <s v="Desk"/>
    <s v="PROD-4040"/>
    <x v="7"/>
    <n v="1"/>
    <n v="3131000"/>
    <n v="0"/>
    <n v="3131000"/>
    <n v="2268842.14"/>
    <n v="862157.86"/>
    <s v="Credit Card"/>
    <x v="28"/>
    <n v="1"/>
    <n v="0.27536182050463109"/>
  </r>
  <r>
    <s v="ORD-00714"/>
    <d v="2025-02-26T00:00:00"/>
    <d v="2025-03-04T00:00:00"/>
    <s v="CUST-0171"/>
    <s v="Dewi Permata"/>
    <s v="Consumer"/>
    <s v="Denpasar"/>
    <s v="Bali"/>
    <x v="2"/>
    <x v="0"/>
    <s v="Paper"/>
    <s v="PROD-9601"/>
    <x v="9"/>
    <n v="1"/>
    <n v="84400"/>
    <n v="0"/>
    <n v="84400"/>
    <n v="46989.89"/>
    <n v="37410.11"/>
    <s v="Bank Transfer"/>
    <x v="3"/>
    <n v="6"/>
    <n v="0.44324774881516588"/>
  </r>
  <r>
    <s v="ORD-00715"/>
    <d v="2023-06-23T00:00:00"/>
    <d v="2023-06-24T00:00:00"/>
    <s v="CUST-0147"/>
    <s v="Lina Siregar"/>
    <s v="Corporate"/>
    <s v="Malang"/>
    <s v="Jawa Timur"/>
    <x v="2"/>
    <x v="1"/>
    <s v="Chair"/>
    <s v="PROD-0956"/>
    <x v="6"/>
    <n v="3"/>
    <n v="606500"/>
    <n v="0.1"/>
    <n v="1637550"/>
    <n v="1151907.45"/>
    <n v="485642.55"/>
    <s v="Credit Card"/>
    <x v="9"/>
    <n v="1"/>
    <n v="0.29656654758633322"/>
  </r>
  <r>
    <s v="ORD-00716"/>
    <d v="2023-08-01T00:00:00"/>
    <d v="2023-08-04T00:00:00"/>
    <s v="CUST-0076"/>
    <s v="Kartika Wijaya"/>
    <s v="Corporate"/>
    <s v="Yogyakarta"/>
    <s v="DI Yogyakarta"/>
    <x v="0"/>
    <x v="0"/>
    <s v="Binder"/>
    <s v="PROD-7352"/>
    <x v="16"/>
    <n v="4"/>
    <n v="61000"/>
    <n v="0.3"/>
    <n v="170800"/>
    <n v="135929.79"/>
    <n v="34870.21"/>
    <s v="Bank Transfer"/>
    <x v="0"/>
    <n v="3"/>
    <n v="0.20415813817330211"/>
  </r>
  <r>
    <s v="ORD-00717"/>
    <d v="2025-03-10T00:00:00"/>
    <d v="2025-03-14T00:00:00"/>
    <s v="CUST-0094"/>
    <s v="Nabila Hidayat"/>
    <s v="Consumer"/>
    <s v="Bandung"/>
    <s v="Jawa Barat"/>
    <x v="1"/>
    <x v="0"/>
    <s v="Stationery"/>
    <s v="PROD-5388"/>
    <x v="18"/>
    <n v="8"/>
    <n v="110500"/>
    <n v="0"/>
    <n v="884000"/>
    <n v="543847.92000000004"/>
    <n v="340152.08"/>
    <s v="Cash"/>
    <x v="20"/>
    <n v="4"/>
    <n v="0.38478742081447964"/>
  </r>
  <r>
    <s v="ORD-00718"/>
    <d v="2024-12-23T00:00:00"/>
    <d v="2024-12-26T00:00:00"/>
    <s v="CUST-0255"/>
    <s v="Sari Saputra"/>
    <s v="Corporate"/>
    <s v="Malang"/>
    <s v="Jawa Timur"/>
    <x v="2"/>
    <x v="1"/>
    <s v="Desk"/>
    <s v="PROD-4040"/>
    <x v="7"/>
    <n v="1"/>
    <n v="3489200"/>
    <n v="0.25"/>
    <n v="2616900"/>
    <n v="2441985.9"/>
    <n v="174914.1"/>
    <s v="E-Wallet"/>
    <x v="23"/>
    <n v="3"/>
    <n v="6.6840192594290956E-2"/>
  </r>
  <r>
    <s v="ORD-00719"/>
    <d v="2025-10-05T00:00:00"/>
    <d v="2025-10-10T00:00:00"/>
    <s v="CUST-0045"/>
    <s v="Hadi Permata"/>
    <s v="Consumer"/>
    <s v="Malang"/>
    <s v="Jawa Timur"/>
    <x v="2"/>
    <x v="1"/>
    <s v="Chair"/>
    <s v="PROD-0956"/>
    <x v="6"/>
    <n v="2"/>
    <n v="696100"/>
    <n v="0.15"/>
    <n v="1183370"/>
    <n v="871863.28"/>
    <n v="311506.71999999997"/>
    <s v="Cash"/>
    <x v="27"/>
    <n v="5"/>
    <n v="0.26323695885479603"/>
  </r>
  <r>
    <s v="ORD-00720"/>
    <d v="2023-01-06T00:00:00"/>
    <d v="2023-01-08T00:00:00"/>
    <s v="CUST-0072"/>
    <s v="Joko Kusuma"/>
    <s v="Corporate"/>
    <s v="Surabaya"/>
    <s v="Jawa Timur"/>
    <x v="2"/>
    <x v="0"/>
    <s v="Paper"/>
    <s v="PROD-7955"/>
    <x v="8"/>
    <n v="6"/>
    <n v="53000"/>
    <n v="0.05"/>
    <n v="302100"/>
    <n v="185453.06"/>
    <n v="116646.94"/>
    <s v="Credit Card"/>
    <x v="11"/>
    <n v="2"/>
    <n v="0.38612029129427344"/>
  </r>
  <r>
    <s v="ORD-00721"/>
    <d v="2023-10-23T00:00:00"/>
    <d v="2023-10-30T00:00:00"/>
    <s v="CUST-0194"/>
    <s v="Farhan Pratama"/>
    <s v="Consumer"/>
    <s v="Semarang"/>
    <s v="Jawa Tengah"/>
    <x v="0"/>
    <x v="0"/>
    <s v="Stationery"/>
    <s v="PROD-1004"/>
    <x v="10"/>
    <n v="1"/>
    <n v="25100"/>
    <n v="0.25"/>
    <n v="18825"/>
    <n v="12809.6"/>
    <n v="6015.4"/>
    <s v="Credit Card"/>
    <x v="30"/>
    <n v="7"/>
    <n v="0.31954316069057104"/>
  </r>
  <r>
    <s v="ORD-00722"/>
    <d v="2025-05-19T00:00:00"/>
    <d v="2025-05-22T00:00:00"/>
    <s v="CUST-0214"/>
    <s v="Eka Utami"/>
    <s v="Consumer"/>
    <s v="Makassar"/>
    <s v="Sulawesi Selatan"/>
    <x v="2"/>
    <x v="2"/>
    <s v="Laptop"/>
    <s v="PROD-8448"/>
    <x v="12"/>
    <n v="1"/>
    <n v="5980200"/>
    <n v="0"/>
    <n v="5980200"/>
    <n v="4592882.05"/>
    <n v="1387317.95"/>
    <s v="Credit Card"/>
    <x v="6"/>
    <n v="3"/>
    <n v="0.23198520952476506"/>
  </r>
  <r>
    <s v="ORD-00723"/>
    <d v="2024-01-09T00:00:00"/>
    <d v="2024-01-13T00:00:00"/>
    <s v="CUST-0031"/>
    <s v="Dinda Ramadhan"/>
    <s v="Consumer"/>
    <s v="Denpasar"/>
    <s v="Bali"/>
    <x v="2"/>
    <x v="0"/>
    <s v="Binder"/>
    <s v="PROD-9396"/>
    <x v="21"/>
    <n v="2"/>
    <n v="39600"/>
    <n v="0"/>
    <n v="79200"/>
    <n v="38192.800000000003"/>
    <n v="41007.199999999997"/>
    <s v="E-Wallet"/>
    <x v="26"/>
    <n v="4"/>
    <n v="0.51776767676767677"/>
  </r>
  <r>
    <s v="ORD-00724"/>
    <d v="2023-03-07T00:00:00"/>
    <d v="2023-03-12T00:00:00"/>
    <s v="CUST-0257"/>
    <s v="Joko Mahendra"/>
    <s v="Consumer"/>
    <s v="Jakarta"/>
    <s v="DKI Jakarta"/>
    <x v="1"/>
    <x v="0"/>
    <s v="Writing"/>
    <s v="PROD-7527"/>
    <x v="5"/>
    <n v="3"/>
    <n v="49200"/>
    <n v="0.1"/>
    <n v="132840"/>
    <n v="81191.13"/>
    <n v="51648.87"/>
    <s v="Cash"/>
    <x v="24"/>
    <n v="5"/>
    <n v="0.38880510388437217"/>
  </r>
  <r>
    <s v="ORD-00725"/>
    <d v="2024-04-10T00:00:00"/>
    <d v="2024-04-14T00:00:00"/>
    <s v="CUST-0040"/>
    <s v="Anisa Mahendra"/>
    <s v="Corporate"/>
    <s v="Bandung"/>
    <s v="Jawa Barat"/>
    <x v="1"/>
    <x v="0"/>
    <s v="Binder"/>
    <s v="PROD-9396"/>
    <x v="21"/>
    <n v="4"/>
    <n v="37500"/>
    <n v="0"/>
    <n v="150000"/>
    <n v="75074.84"/>
    <n v="74925.16"/>
    <s v="Credit Card"/>
    <x v="1"/>
    <n v="4"/>
    <n v="0.49950106666666672"/>
  </r>
  <r>
    <s v="ORD-00726"/>
    <d v="2025-08-17T00:00:00"/>
    <d v="2025-08-21T00:00:00"/>
    <s v="CUST-0172"/>
    <s v="Aldi Putra"/>
    <s v="Consumer"/>
    <s v="Malang"/>
    <s v="Jawa Timur"/>
    <x v="2"/>
    <x v="2"/>
    <s v="Accessories"/>
    <s v="PROD-1626"/>
    <x v="20"/>
    <n v="3"/>
    <n v="216900"/>
    <n v="0"/>
    <n v="650700"/>
    <n v="374848.14"/>
    <n v="275851.86"/>
    <s v="E-Wallet"/>
    <x v="12"/>
    <n v="4"/>
    <n v="0.42393093591516828"/>
  </r>
  <r>
    <s v="ORD-00727"/>
    <d v="2024-07-31T00:00:00"/>
    <d v="2024-08-02T00:00:00"/>
    <s v="CUST-0044"/>
    <s v="Toni Anggraini"/>
    <s v="Corporate"/>
    <s v="Semarang"/>
    <s v="Jawa Tengah"/>
    <x v="0"/>
    <x v="1"/>
    <s v="Chair"/>
    <s v="PROD-9951"/>
    <x v="19"/>
    <n v="1"/>
    <n v="1652700"/>
    <n v="0.25"/>
    <n v="1239525"/>
    <n v="1070322.82"/>
    <n v="169202.18"/>
    <s v="E-Wallet"/>
    <x v="29"/>
    <n v="2"/>
    <n v="0.13650566144289142"/>
  </r>
  <r>
    <s v="ORD-00728"/>
    <d v="2023-04-02T00:00:00"/>
    <d v="2023-04-07T00:00:00"/>
    <s v="CUST-0204"/>
    <s v="Raka Putra"/>
    <s v="Consumer"/>
    <s v="Jakarta"/>
    <s v="DKI Jakarta"/>
    <x v="1"/>
    <x v="0"/>
    <s v="Stationery"/>
    <s v="PROD-5388"/>
    <x v="18"/>
    <n v="8"/>
    <n v="103700"/>
    <n v="0.05"/>
    <n v="788120"/>
    <n v="466588.61"/>
    <n v="321531.39"/>
    <s v="Bank Transfer"/>
    <x v="14"/>
    <n v="5"/>
    <n v="0.40797263107141046"/>
  </r>
  <r>
    <s v="ORD-00729"/>
    <d v="2024-10-06T00:00:00"/>
    <d v="2024-10-13T00:00:00"/>
    <s v="CUST-0077"/>
    <s v="Aldi Anggraini"/>
    <s v="Corporate"/>
    <s v="Bogor"/>
    <s v="Jawa Barat"/>
    <x v="1"/>
    <x v="1"/>
    <s v="Desk"/>
    <s v="PROD-6903"/>
    <x v="13"/>
    <n v="2"/>
    <n v="1371500"/>
    <n v="0.05"/>
    <n v="2605850"/>
    <n v="1865897.3"/>
    <n v="739952.7"/>
    <s v="Bank Transfer"/>
    <x v="21"/>
    <n v="7"/>
    <n v="0.28395828616382368"/>
  </r>
  <r>
    <s v="ORD-00730"/>
    <d v="2025-02-21T00:00:00"/>
    <d v="2025-02-25T00:00:00"/>
    <s v="CUST-0111"/>
    <s v="Rizky Ramadhan"/>
    <s v="Consumer"/>
    <s v="Yogyakarta"/>
    <s v="DI Yogyakarta"/>
    <x v="0"/>
    <x v="1"/>
    <s v="Chair"/>
    <s v="PROD-9951"/>
    <x v="19"/>
    <n v="1"/>
    <n v="1816000"/>
    <n v="0.25"/>
    <n v="1362000"/>
    <n v="1174713.58"/>
    <n v="187286.42"/>
    <s v="Cash"/>
    <x v="3"/>
    <n v="4"/>
    <n v="0.13750838472834068"/>
  </r>
  <r>
    <s v="ORD-00731"/>
    <d v="2023-10-16T00:00:00"/>
    <d v="2023-10-23T00:00:00"/>
    <s v="CUST-0199"/>
    <s v="Hadi Putra"/>
    <s v="Corporate"/>
    <s v="Denpasar"/>
    <s v="Bali"/>
    <x v="2"/>
    <x v="0"/>
    <s v="Binder"/>
    <s v="PROD-7352"/>
    <x v="16"/>
    <n v="1"/>
    <n v="58100"/>
    <n v="0.25"/>
    <n v="43575"/>
    <n v="29413.53"/>
    <n v="14161.47"/>
    <s v="E-Wallet"/>
    <x v="30"/>
    <n v="7"/>
    <n v="0.32499070567986227"/>
  </r>
  <r>
    <s v="ORD-00732"/>
    <d v="2023-06-03T00:00:00"/>
    <d v="2023-06-05T00:00:00"/>
    <s v="CUST-0045"/>
    <s v="Putri Santoso"/>
    <s v="Corporate"/>
    <s v="Bandung"/>
    <s v="Jawa Barat"/>
    <x v="1"/>
    <x v="1"/>
    <s v="Desk"/>
    <s v="PROD-4040"/>
    <x v="7"/>
    <n v="4"/>
    <n v="3049500"/>
    <n v="0.2"/>
    <n v="9758400"/>
    <n v="8996779.5199999996"/>
    <n v="761620.47999999998"/>
    <s v="Credit Card"/>
    <x v="9"/>
    <n v="2"/>
    <n v="7.8047679947532381E-2"/>
  </r>
  <r>
    <s v="ORD-00733"/>
    <d v="2025-07-20T00:00:00"/>
    <d v="2025-07-23T00:00:00"/>
    <s v="CUST-0243"/>
    <s v="Indra Utami"/>
    <s v="Consumer"/>
    <s v="Bogor"/>
    <s v="Jawa Barat"/>
    <x v="1"/>
    <x v="2"/>
    <s v="Accessories"/>
    <s v="PROD-3744"/>
    <x v="4"/>
    <n v="2"/>
    <n v="114500"/>
    <n v="0.15"/>
    <n v="194650"/>
    <n v="134134.43"/>
    <n v="60515.57"/>
    <s v="E-Wallet"/>
    <x v="19"/>
    <n v="3"/>
    <n v="0.3108942717698433"/>
  </r>
  <r>
    <s v="ORD-00734"/>
    <d v="2025-06-24T00:00:00"/>
    <d v="2025-06-30T00:00:00"/>
    <s v="CUST-0067"/>
    <s v="Oki Permata"/>
    <s v="Consumer"/>
    <s v="Makassar"/>
    <s v="Sulawesi Selatan"/>
    <x v="2"/>
    <x v="0"/>
    <s v="Paper"/>
    <s v="PROD-9601"/>
    <x v="9"/>
    <n v="5"/>
    <n v="75100"/>
    <n v="0.2"/>
    <n v="300400"/>
    <n v="232867.21"/>
    <n v="67532.789999999994"/>
    <s v="E-Wallet"/>
    <x v="7"/>
    <n v="6"/>
    <n v="0.22480955392809585"/>
  </r>
  <r>
    <s v="ORD-00735"/>
    <d v="2025-11-15T00:00:00"/>
    <d v="2025-11-22T00:00:00"/>
    <s v="CUST-0030"/>
    <s v="Farhan Utami"/>
    <s v="Consumer"/>
    <s v="Surabaya"/>
    <s v="Jawa Timur"/>
    <x v="2"/>
    <x v="0"/>
    <s v="Binder"/>
    <s v="PROD-7352"/>
    <x v="16"/>
    <n v="2"/>
    <n v="53600"/>
    <n v="0.2"/>
    <n v="85760"/>
    <n v="59016.61"/>
    <n v="26743.39"/>
    <s v="Cash"/>
    <x v="34"/>
    <n v="7"/>
    <n v="0.31183990205223883"/>
  </r>
  <r>
    <s v="ORD-00736"/>
    <d v="2024-05-16T00:00:00"/>
    <d v="2024-05-22T00:00:00"/>
    <s v="CUST-0237"/>
    <s v="Yoga Santoso"/>
    <s v="Small Business"/>
    <s v="Bogor"/>
    <s v="Jawa Barat"/>
    <x v="1"/>
    <x v="0"/>
    <s v="Paper"/>
    <s v="PROD-7955"/>
    <x v="8"/>
    <n v="2"/>
    <n v="59500"/>
    <n v="0.2"/>
    <n v="95200"/>
    <n v="64075.33"/>
    <n v="31124.67"/>
    <s v="E-Wallet"/>
    <x v="15"/>
    <n v="6"/>
    <n v="0.32693981092436974"/>
  </r>
  <r>
    <s v="ORD-00737"/>
    <d v="2024-12-15T00:00:00"/>
    <d v="2024-12-19T00:00:00"/>
    <s v="CUST-0103"/>
    <s v="Maya Permata"/>
    <s v="Consumer"/>
    <s v="Denpasar"/>
    <s v="Bali"/>
    <x v="2"/>
    <x v="1"/>
    <s v="Storage"/>
    <s v="PROD-7524"/>
    <x v="1"/>
    <n v="4"/>
    <n v="1079800"/>
    <n v="0.25"/>
    <n v="3239400"/>
    <n v="3083521.59"/>
    <n v="155878.41"/>
    <s v="Credit Card"/>
    <x v="23"/>
    <n v="4"/>
    <n v="4.8119531394702722E-2"/>
  </r>
  <r>
    <s v="ORD-00738"/>
    <d v="2023-05-13T00:00:00"/>
    <d v="2023-05-16T00:00:00"/>
    <s v="CUST-0075"/>
    <s v="Wulan Putra"/>
    <s v="Consumer"/>
    <s v="Denpasar"/>
    <s v="Bali"/>
    <x v="2"/>
    <x v="1"/>
    <s v="Storage"/>
    <s v="PROD-7524"/>
    <x v="1"/>
    <n v="1"/>
    <n v="980000"/>
    <n v="0.1"/>
    <n v="882000"/>
    <n v="715253.37"/>
    <n v="166746.63"/>
    <s v="Cash"/>
    <x v="22"/>
    <n v="3"/>
    <n v="0.18905513605442179"/>
  </r>
  <r>
    <s v="ORD-00739"/>
    <d v="2024-10-17T00:00:00"/>
    <d v="2024-10-22T00:00:00"/>
    <s v="CUST-0012"/>
    <s v="Nabila Ramadhan"/>
    <s v="Small Business"/>
    <s v="Jakarta"/>
    <s v="DKI Jakarta"/>
    <x v="1"/>
    <x v="2"/>
    <s v="Accessories"/>
    <s v="PROD-1626"/>
    <x v="20"/>
    <n v="4"/>
    <n v="256500"/>
    <n v="0"/>
    <n v="1026000"/>
    <n v="601745.35"/>
    <n v="424254.65"/>
    <s v="E-Wallet"/>
    <x v="21"/>
    <n v="5"/>
    <n v="0.41350355750487333"/>
  </r>
  <r>
    <s v="ORD-00740"/>
    <d v="2025-05-16T00:00:00"/>
    <d v="2025-05-19T00:00:00"/>
    <s v="CUST-0110"/>
    <s v="Yoga Siregar"/>
    <s v="Consumer"/>
    <s v="Bandung"/>
    <s v="Jawa Barat"/>
    <x v="1"/>
    <x v="2"/>
    <s v="Smartphone"/>
    <s v="PROD-2176"/>
    <x v="17"/>
    <n v="2"/>
    <n v="3090000"/>
    <n v="0.15"/>
    <n v="5253000"/>
    <n v="4993955.2"/>
    <n v="259044.8"/>
    <s v="E-Wallet"/>
    <x v="6"/>
    <n v="3"/>
    <n v="4.9313687416714255E-2"/>
  </r>
  <r>
    <s v="ORD-00741"/>
    <d v="2024-06-15T00:00:00"/>
    <d v="2024-06-17T00:00:00"/>
    <s v="CUST-0083"/>
    <s v="Zahra Hidayat"/>
    <s v="Consumer"/>
    <s v="Malang"/>
    <s v="Jawa Timur"/>
    <x v="2"/>
    <x v="0"/>
    <s v="Paper"/>
    <s v="PROD-9601"/>
    <x v="9"/>
    <n v="1"/>
    <n v="74200"/>
    <n v="0.05"/>
    <n v="70490"/>
    <n v="43544.47"/>
    <n v="26945.53"/>
    <s v="E-Wallet"/>
    <x v="35"/>
    <n v="2"/>
    <n v="0.38226032061285287"/>
  </r>
  <r>
    <s v="ORD-00742"/>
    <d v="2024-12-27T00:00:00"/>
    <d v="2025-01-02T00:00:00"/>
    <s v="CUST-0163"/>
    <s v="Aldi Wijaya"/>
    <s v="Corporate"/>
    <s v="Medan"/>
    <s v="Sumatera Utara"/>
    <x v="1"/>
    <x v="1"/>
    <s v="Chair"/>
    <s v="PROD-9951"/>
    <x v="19"/>
    <n v="1"/>
    <n v="1832200"/>
    <n v="0.1"/>
    <n v="1648980"/>
    <n v="1199681.05"/>
    <n v="449298.95"/>
    <s v="Credit Card"/>
    <x v="23"/>
    <n v="6"/>
    <n v="0.27247083045276477"/>
  </r>
  <r>
    <s v="ORD-00743"/>
    <d v="2025-07-28T00:00:00"/>
    <d v="2025-07-30T00:00:00"/>
    <s v="CUST-0065"/>
    <s v="Wulan Kusuma"/>
    <s v="Corporate"/>
    <s v="Bandung"/>
    <s v="Jawa Barat"/>
    <x v="1"/>
    <x v="1"/>
    <s v="Desk"/>
    <s v="PROD-6903"/>
    <x v="13"/>
    <n v="1"/>
    <n v="1323600"/>
    <n v="0.3"/>
    <n v="926520"/>
    <n v="951223.01"/>
    <n v="-24703.01"/>
    <s v="Cash"/>
    <x v="19"/>
    <n v="2"/>
    <n v="-2.6662144368173379E-2"/>
  </r>
  <r>
    <s v="ORD-00744"/>
    <d v="2023-07-19T00:00:00"/>
    <d v="2023-07-20T00:00:00"/>
    <s v="CUST-0008"/>
    <s v="Lina Nugroho"/>
    <s v="Corporate"/>
    <s v="Malang"/>
    <s v="Jawa Timur"/>
    <x v="2"/>
    <x v="2"/>
    <s v="Smartphone"/>
    <s v="PROD-6076"/>
    <x v="15"/>
    <n v="3"/>
    <n v="4453500"/>
    <n v="0"/>
    <n v="13360500"/>
    <n v="9768369.2899999991"/>
    <n v="3592130.71"/>
    <s v="Credit Card"/>
    <x v="13"/>
    <n v="1"/>
    <n v="0.26886199693125257"/>
  </r>
  <r>
    <s v="ORD-00745"/>
    <d v="2025-01-15T00:00:00"/>
    <d v="2025-01-16T00:00:00"/>
    <s v="CUST-0181"/>
    <s v="Anisa Saputra"/>
    <s v="Corporate"/>
    <s v="Medan"/>
    <s v="Sumatera Utara"/>
    <x v="1"/>
    <x v="2"/>
    <s v="Accessories"/>
    <s v="PROD-3744"/>
    <x v="4"/>
    <n v="3"/>
    <n v="130300"/>
    <n v="0.05"/>
    <n v="371355"/>
    <n v="227481.58"/>
    <n v="143873.42000000001"/>
    <s v="Bank Transfer"/>
    <x v="17"/>
    <n v="1"/>
    <n v="0.38742825598147329"/>
  </r>
  <r>
    <s v="ORD-00746"/>
    <d v="2025-05-22T00:00:00"/>
    <d v="2025-05-27T00:00:00"/>
    <s v="CUST-0196"/>
    <s v="Joko Nugroho"/>
    <s v="Small Business"/>
    <s v="Bandung"/>
    <s v="Jawa Barat"/>
    <x v="1"/>
    <x v="0"/>
    <s v="Binder"/>
    <s v="PROD-7352"/>
    <x v="16"/>
    <n v="2"/>
    <n v="52600"/>
    <n v="0.1"/>
    <n v="94680"/>
    <n v="56902.3"/>
    <n v="37777.699999999997"/>
    <s v="Cash"/>
    <x v="6"/>
    <n v="5"/>
    <n v="0.3990040135192226"/>
  </r>
  <r>
    <s v="ORD-00747"/>
    <d v="2025-06-14T00:00:00"/>
    <d v="2025-06-20T00:00:00"/>
    <s v="CUST-0052"/>
    <s v="Wulan Kusuma"/>
    <s v="Corporate"/>
    <s v="Bandung"/>
    <s v="Jawa Barat"/>
    <x v="1"/>
    <x v="2"/>
    <s v="Laptop"/>
    <s v="PROD-8448"/>
    <x v="12"/>
    <n v="1"/>
    <n v="5512000"/>
    <n v="0.25"/>
    <n v="4134000"/>
    <n v="4248551.66"/>
    <n v="-114551.66"/>
    <s v="Bank Transfer"/>
    <x v="7"/>
    <n v="6"/>
    <n v="-2.77096419932269E-2"/>
  </r>
  <r>
    <s v="ORD-00748"/>
    <d v="2025-10-27T00:00:00"/>
    <d v="2025-11-01T00:00:00"/>
    <s v="CUST-0180"/>
    <s v="Rizky Siregar"/>
    <s v="Consumer"/>
    <s v="Malang"/>
    <s v="Jawa Timur"/>
    <x v="2"/>
    <x v="0"/>
    <s v="Binder"/>
    <s v="PROD-9396"/>
    <x v="21"/>
    <n v="3"/>
    <n v="35200"/>
    <n v="0.2"/>
    <n v="84480"/>
    <n v="56684.59"/>
    <n v="27795.41"/>
    <s v="Cash"/>
    <x v="27"/>
    <n v="5"/>
    <n v="0.32901763731060607"/>
  </r>
  <r>
    <s v="ORD-00749"/>
    <d v="2025-08-08T00:00:00"/>
    <d v="2025-08-12T00:00:00"/>
    <s v="CUST-0213"/>
    <s v="Yoga Putra"/>
    <s v="Small Business"/>
    <s v="Jakarta"/>
    <s v="DKI Jakarta"/>
    <x v="1"/>
    <x v="0"/>
    <s v="Stationery"/>
    <s v="PROD-1004"/>
    <x v="10"/>
    <n v="2"/>
    <n v="25900"/>
    <n v="0.1"/>
    <n v="46620"/>
    <n v="25127.200000000001"/>
    <n v="21492.799999999999"/>
    <s v="Credit Card"/>
    <x v="12"/>
    <n v="4"/>
    <n v="0.46102102102102099"/>
  </r>
  <r>
    <s v="ORD-00750"/>
    <d v="2023-01-09T00:00:00"/>
    <d v="2023-01-13T00:00:00"/>
    <s v="CUST-0201"/>
    <s v="Gita Anggraini"/>
    <s v="Corporate"/>
    <s v="Bogor"/>
    <s v="Jawa Barat"/>
    <x v="1"/>
    <x v="2"/>
    <s v="Laptop"/>
    <s v="PROD-7745"/>
    <x v="14"/>
    <n v="2"/>
    <n v="9110300"/>
    <n v="0.3"/>
    <n v="12754420"/>
    <n v="13948264.23"/>
    <n v="-1193844.23"/>
    <s v="E-Wallet"/>
    <x v="11"/>
    <n v="4"/>
    <n v="-9.3602392739144544E-2"/>
  </r>
  <r>
    <s v="ORD-00751"/>
    <d v="2025-03-16T00:00:00"/>
    <d v="2025-03-23T00:00:00"/>
    <s v="CUST-0224"/>
    <s v="Hadi Santoso"/>
    <s v="Small Business"/>
    <s v="Bogor"/>
    <s v="Jawa Barat"/>
    <x v="1"/>
    <x v="2"/>
    <s v="Accessories"/>
    <s v="PROD-1626"/>
    <x v="20"/>
    <n v="10"/>
    <n v="215800"/>
    <n v="0.2"/>
    <n v="1726400"/>
    <n v="1317130.1499999999"/>
    <n v="409269.85"/>
    <s v="Cash"/>
    <x v="20"/>
    <n v="7"/>
    <n v="0.23706548308619091"/>
  </r>
  <r>
    <s v="ORD-00752"/>
    <d v="2023-09-16T00:00:00"/>
    <d v="2023-09-21T00:00:00"/>
    <s v="CUST-0079"/>
    <s v="Aldi Anggraini"/>
    <s v="Small Business"/>
    <s v="Yogyakarta"/>
    <s v="DI Yogyakarta"/>
    <x v="0"/>
    <x v="2"/>
    <s v="Accessories"/>
    <s v="PROD-1626"/>
    <x v="20"/>
    <n v="8"/>
    <n v="217300"/>
    <n v="0"/>
    <n v="1738400"/>
    <n v="1050200.19"/>
    <n v="688199.81"/>
    <s v="Credit Card"/>
    <x v="33"/>
    <n v="5"/>
    <n v="0.39588116083755182"/>
  </r>
  <r>
    <s v="ORD-00753"/>
    <d v="2023-06-11T00:00:00"/>
    <d v="2023-06-16T00:00:00"/>
    <s v="CUST-0126"/>
    <s v="Farhan Utami"/>
    <s v="Small Business"/>
    <s v="Bogor"/>
    <s v="Jawa Barat"/>
    <x v="1"/>
    <x v="1"/>
    <s v="Storage"/>
    <s v="PROD-2602"/>
    <x v="3"/>
    <n v="1"/>
    <n v="907900"/>
    <n v="0"/>
    <n v="907900"/>
    <n v="575498.32999999996"/>
    <n v="332401.67"/>
    <s v="E-Wallet"/>
    <x v="9"/>
    <n v="5"/>
    <n v="0.3661214561075008"/>
  </r>
  <r>
    <s v="ORD-00754"/>
    <d v="2025-02-13T00:00:00"/>
    <d v="2025-02-20T00:00:00"/>
    <s v="CUST-0236"/>
    <s v="Rian Anggraini"/>
    <s v="Consumer"/>
    <s v="Yogyakarta"/>
    <s v="DI Yogyakarta"/>
    <x v="0"/>
    <x v="2"/>
    <s v="Laptop"/>
    <s v="PROD-7745"/>
    <x v="14"/>
    <n v="3"/>
    <n v="8531600"/>
    <n v="0.1"/>
    <n v="23035320"/>
    <n v="19234152.039999999"/>
    <n v="3801167.96"/>
    <s v="Credit Card"/>
    <x v="3"/>
    <n v="7"/>
    <n v="0.1650147668884131"/>
  </r>
  <r>
    <s v="ORD-00755"/>
    <d v="2023-09-09T00:00:00"/>
    <d v="2023-09-10T00:00:00"/>
    <s v="CUST-0012"/>
    <s v="Nadia Santoso"/>
    <s v="Consumer"/>
    <s v="Bogor"/>
    <s v="Jawa Barat"/>
    <x v="1"/>
    <x v="2"/>
    <s v="Accessories"/>
    <s v="PROD-3744"/>
    <x v="4"/>
    <n v="5"/>
    <n v="137600"/>
    <n v="0"/>
    <n v="688000"/>
    <n v="384310.37"/>
    <n v="303689.63"/>
    <s v="Cash"/>
    <x v="33"/>
    <n v="1"/>
    <n v="0.44140934593023257"/>
  </r>
  <r>
    <s v="ORD-00756"/>
    <d v="2025-09-23T00:00:00"/>
    <d v="2025-09-29T00:00:00"/>
    <s v="CUST-0017"/>
    <s v="Dewi Permata"/>
    <s v="Small Business"/>
    <s v="Malang"/>
    <s v="Jawa Timur"/>
    <x v="2"/>
    <x v="2"/>
    <s v="Accessories"/>
    <s v="PROD-1626"/>
    <x v="20"/>
    <n v="4"/>
    <n v="216100"/>
    <n v="0"/>
    <n v="864400"/>
    <n v="504754.98"/>
    <n v="359645.02"/>
    <s v="Cash"/>
    <x v="32"/>
    <n v="6"/>
    <n v="0.41606318833873207"/>
  </r>
  <r>
    <s v="ORD-00757"/>
    <d v="2024-12-11T00:00:00"/>
    <d v="2024-12-15T00:00:00"/>
    <s v="CUST-0079"/>
    <s v="Gita Nugroho"/>
    <s v="Corporate"/>
    <s v="Bogor"/>
    <s v="Jawa Barat"/>
    <x v="1"/>
    <x v="0"/>
    <s v="Paper"/>
    <s v="PROD-7955"/>
    <x v="8"/>
    <n v="6"/>
    <n v="54700"/>
    <n v="0"/>
    <n v="328200"/>
    <n v="172025.12"/>
    <n v="156174.88"/>
    <s v="E-Wallet"/>
    <x v="23"/>
    <n v="4"/>
    <n v="0.47585277269957343"/>
  </r>
  <r>
    <s v="ORD-00758"/>
    <d v="2025-01-17T00:00:00"/>
    <d v="2025-01-18T00:00:00"/>
    <s v="CUST-0048"/>
    <s v="Lina Mahendra"/>
    <s v="Consumer"/>
    <s v="Surabaya"/>
    <s v="Jawa Timur"/>
    <x v="2"/>
    <x v="0"/>
    <s v="Paper"/>
    <s v="PROD-7955"/>
    <x v="8"/>
    <n v="4"/>
    <n v="64200"/>
    <n v="0"/>
    <n v="256800"/>
    <n v="143020.29"/>
    <n v="113779.71"/>
    <s v="Bank Transfer"/>
    <x v="17"/>
    <n v="1"/>
    <n v="0.44306740654205612"/>
  </r>
  <r>
    <s v="ORD-00759"/>
    <d v="2024-08-25T00:00:00"/>
    <d v="2024-08-29T00:00:00"/>
    <s v="CUST-0144"/>
    <s v="Maya Santoso"/>
    <s v="Consumer"/>
    <s v="Malang"/>
    <s v="Jawa Timur"/>
    <x v="2"/>
    <x v="0"/>
    <s v="Stationery"/>
    <s v="PROD-5388"/>
    <x v="18"/>
    <n v="6"/>
    <n v="109800"/>
    <n v="0"/>
    <n v="658800"/>
    <n v="398041.2"/>
    <n v="260758.8"/>
    <s v="Cash"/>
    <x v="28"/>
    <n v="4"/>
    <n v="0.3958087431693989"/>
  </r>
  <r>
    <s v="ORD-00760"/>
    <d v="2024-09-30T00:00:00"/>
    <d v="2024-10-02T00:00:00"/>
    <s v="CUST-0197"/>
    <s v="Nadia Putra"/>
    <s v="Small Business"/>
    <s v="Malang"/>
    <s v="Jawa Timur"/>
    <x v="2"/>
    <x v="0"/>
    <s v="Stationery"/>
    <s v="PROD-5388"/>
    <x v="18"/>
    <n v="3"/>
    <n v="110400"/>
    <n v="0"/>
    <n v="331200"/>
    <n v="181984.51"/>
    <n v="149215.49"/>
    <s v="Cash"/>
    <x v="16"/>
    <n v="2"/>
    <n v="0.4505298611111111"/>
  </r>
  <r>
    <s v="ORD-00761"/>
    <d v="2024-12-23T00:00:00"/>
    <d v="2024-12-26T00:00:00"/>
    <s v="CUST-0181"/>
    <s v="Maya Pratama"/>
    <s v="Consumer"/>
    <s v="Denpasar"/>
    <s v="Bali"/>
    <x v="2"/>
    <x v="0"/>
    <s v="Paper"/>
    <s v="PROD-9601"/>
    <x v="9"/>
    <n v="8"/>
    <n v="72600"/>
    <n v="0.05"/>
    <n v="551760"/>
    <n v="346466.2"/>
    <n v="205293.8"/>
    <s v="Bank Transfer"/>
    <x v="23"/>
    <n v="3"/>
    <n v="0.37207082789618673"/>
  </r>
  <r>
    <s v="ORD-00762"/>
    <d v="2023-08-23T00:00:00"/>
    <d v="2023-08-25T00:00:00"/>
    <s v="CUST-0005"/>
    <s v="Kartika Mahendra"/>
    <s v="Consumer"/>
    <s v="Bogor"/>
    <s v="Jawa Barat"/>
    <x v="1"/>
    <x v="0"/>
    <s v="Stationery"/>
    <s v="PROD-1004"/>
    <x v="10"/>
    <n v="1"/>
    <n v="26500"/>
    <n v="0"/>
    <n v="26500"/>
    <n v="12866.56"/>
    <n v="13633.44"/>
    <s v="Bank Transfer"/>
    <x v="0"/>
    <n v="2"/>
    <n v="0.51446943396226419"/>
  </r>
  <r>
    <s v="ORD-00763"/>
    <d v="2023-01-23T00:00:00"/>
    <d v="2023-01-29T00:00:00"/>
    <s v="CUST-0053"/>
    <s v="Sari Lestari"/>
    <s v="Corporate"/>
    <s v="Makassar"/>
    <s v="Sulawesi Selatan"/>
    <x v="2"/>
    <x v="2"/>
    <s v="Printer"/>
    <s v="PROD-5410"/>
    <x v="11"/>
    <n v="3"/>
    <n v="1428000"/>
    <n v="0.1"/>
    <n v="3855600"/>
    <n v="3141678.93"/>
    <n v="713921.07"/>
    <s v="Credit Card"/>
    <x v="11"/>
    <n v="6"/>
    <n v="0.18516471366324305"/>
  </r>
  <r>
    <s v="ORD-00764"/>
    <d v="2023-06-03T00:00:00"/>
    <d v="2023-06-08T00:00:00"/>
    <s v="CUST-0141"/>
    <s v="Nadia Santoso"/>
    <s v="Consumer"/>
    <s v="Malang"/>
    <s v="Jawa Timur"/>
    <x v="2"/>
    <x v="0"/>
    <s v="Stationery"/>
    <s v="PROD-1004"/>
    <x v="10"/>
    <n v="1"/>
    <n v="24600"/>
    <n v="0.05"/>
    <n v="23370"/>
    <n v="11524.62"/>
    <n v="11845.38"/>
    <s v="E-Wallet"/>
    <x v="9"/>
    <n v="5"/>
    <n v="0.50686264441591777"/>
  </r>
  <r>
    <s v="ORD-00765"/>
    <d v="2023-09-12T00:00:00"/>
    <d v="2023-09-16T00:00:00"/>
    <s v="CUST-0237"/>
    <s v="Joko Wijaya"/>
    <s v="Consumer"/>
    <s v="Makassar"/>
    <s v="Sulawesi Selatan"/>
    <x v="2"/>
    <x v="2"/>
    <s v="Accessories"/>
    <s v="PROD-4943"/>
    <x v="2"/>
    <n v="1"/>
    <n v="505200"/>
    <n v="0.2"/>
    <n v="404160"/>
    <n v="337791.45"/>
    <n v="66368.55"/>
    <s v="Bank Transfer"/>
    <x v="33"/>
    <n v="4"/>
    <n v="0.16421355403800475"/>
  </r>
  <r>
    <s v="ORD-00766"/>
    <d v="2025-04-04T00:00:00"/>
    <d v="2025-04-05T00:00:00"/>
    <s v="CUST-0163"/>
    <s v="Nabila Permata"/>
    <s v="Corporate"/>
    <s v="Surabaya"/>
    <s v="Jawa Timur"/>
    <x v="2"/>
    <x v="0"/>
    <s v="Paper"/>
    <s v="PROD-7955"/>
    <x v="8"/>
    <n v="2"/>
    <n v="62800"/>
    <n v="0.05"/>
    <n v="119320"/>
    <n v="68329.08"/>
    <n v="50990.92"/>
    <s v="Bank Transfer"/>
    <x v="5"/>
    <n v="1"/>
    <n v="0.42734596044250756"/>
  </r>
  <r>
    <s v="ORD-00767"/>
    <d v="2025-03-30T00:00:00"/>
    <d v="2025-03-31T00:00:00"/>
    <s v="CUST-0063"/>
    <s v="Anisa Permata"/>
    <s v="Corporate"/>
    <s v="Denpasar"/>
    <s v="Bali"/>
    <x v="2"/>
    <x v="1"/>
    <s v="Desk"/>
    <s v="PROD-6903"/>
    <x v="13"/>
    <n v="1"/>
    <n v="1395600"/>
    <n v="0.05"/>
    <n v="1325820"/>
    <n v="966229.09"/>
    <n v="359590.91"/>
    <s v="Cash"/>
    <x v="20"/>
    <n v="1"/>
    <n v="0.27122151574120168"/>
  </r>
  <r>
    <s v="ORD-00768"/>
    <d v="2023-07-30T00:00:00"/>
    <d v="2023-07-31T00:00:00"/>
    <s v="CUST-0189"/>
    <s v="Anisa Siregar"/>
    <s v="Consumer"/>
    <s v="Bogor"/>
    <s v="Jawa Barat"/>
    <x v="1"/>
    <x v="2"/>
    <s v="Laptop"/>
    <s v="PROD-7745"/>
    <x v="14"/>
    <n v="5"/>
    <n v="8686600"/>
    <n v="0"/>
    <n v="43433000"/>
    <n v="32571487.98"/>
    <n v="10861512.02"/>
    <s v="E-Wallet"/>
    <x v="13"/>
    <n v="1"/>
    <n v="0.25007510464393434"/>
  </r>
  <r>
    <s v="ORD-00769"/>
    <d v="2023-01-11T00:00:00"/>
    <d v="2023-01-17T00:00:00"/>
    <s v="CUST-0139"/>
    <s v="Zahra Wijaya"/>
    <s v="Consumer"/>
    <s v="Jakarta"/>
    <s v="DKI Jakarta"/>
    <x v="1"/>
    <x v="0"/>
    <s v="Binder"/>
    <s v="PROD-9396"/>
    <x v="21"/>
    <n v="1"/>
    <n v="37000"/>
    <n v="0.1"/>
    <n v="33300"/>
    <n v="19529.03"/>
    <n v="13770.97"/>
    <s v="E-Wallet"/>
    <x v="11"/>
    <n v="6"/>
    <n v="0.41354264264264262"/>
  </r>
  <r>
    <s v="ORD-00770"/>
    <d v="2023-10-10T00:00:00"/>
    <d v="2023-10-15T00:00:00"/>
    <s v="CUST-0245"/>
    <s v="Yoga Kusuma"/>
    <s v="Small Business"/>
    <s v="Surabaya"/>
    <s v="Jawa Timur"/>
    <x v="2"/>
    <x v="1"/>
    <s v="Chair"/>
    <s v="PROD-0956"/>
    <x v="6"/>
    <n v="3"/>
    <n v="680600"/>
    <n v="0.1"/>
    <n v="1837620"/>
    <n v="1282273.98"/>
    <n v="555346.02"/>
    <s v="Cash"/>
    <x v="30"/>
    <n v="5"/>
    <n v="0.30220939040715711"/>
  </r>
  <r>
    <s v="ORD-00771"/>
    <d v="2024-07-28T00:00:00"/>
    <d v="2024-07-31T00:00:00"/>
    <s v="CUST-0106"/>
    <s v="Zahra Santoso"/>
    <s v="Consumer"/>
    <s v="Semarang"/>
    <s v="Jawa Tengah"/>
    <x v="0"/>
    <x v="0"/>
    <s v="Stationery"/>
    <s v="PROD-5388"/>
    <x v="18"/>
    <n v="4"/>
    <n v="112400"/>
    <n v="0.2"/>
    <n v="359680"/>
    <n v="251533.25"/>
    <n v="108146.75"/>
    <s v="E-Wallet"/>
    <x v="29"/>
    <n v="3"/>
    <n v="0.30067490547153025"/>
  </r>
  <r>
    <s v="ORD-00772"/>
    <d v="2023-06-03T00:00:00"/>
    <d v="2023-06-07T00:00:00"/>
    <s v="CUST-0161"/>
    <s v="Nabila Lestari"/>
    <s v="Consumer"/>
    <s v="Semarang"/>
    <s v="Jawa Tengah"/>
    <x v="0"/>
    <x v="2"/>
    <s v="Laptop"/>
    <s v="PROD-7745"/>
    <x v="14"/>
    <n v="1"/>
    <n v="7568600"/>
    <n v="0"/>
    <n v="7568600"/>
    <n v="6061533.1200000001"/>
    <n v="1507066.8799999999"/>
    <s v="Cash"/>
    <x v="9"/>
    <n v="4"/>
    <n v="0.199120957640779"/>
  </r>
  <r>
    <s v="ORD-00773"/>
    <d v="2025-07-18T00:00:00"/>
    <d v="2025-07-24T00:00:00"/>
    <s v="CUST-0205"/>
    <s v="Gita Santoso"/>
    <s v="Consumer"/>
    <s v="Bogor"/>
    <s v="Jawa Barat"/>
    <x v="1"/>
    <x v="2"/>
    <s v="Laptop"/>
    <s v="PROD-8448"/>
    <x v="12"/>
    <n v="2"/>
    <n v="6097200"/>
    <n v="0.1"/>
    <n v="10974960"/>
    <n v="9525218.4600000009"/>
    <n v="1449741.54"/>
    <s v="E-Wallet"/>
    <x v="19"/>
    <n v="6"/>
    <n v="0.13209538257998207"/>
  </r>
  <r>
    <s v="ORD-00774"/>
    <d v="2024-07-23T00:00:00"/>
    <d v="2024-07-27T00:00:00"/>
    <s v="CUST-0236"/>
    <s v="Fajar Lestari"/>
    <s v="Corporate"/>
    <s v="Makassar"/>
    <s v="Sulawesi Selatan"/>
    <x v="2"/>
    <x v="2"/>
    <s v="Accessories"/>
    <s v="PROD-3744"/>
    <x v="4"/>
    <n v="2"/>
    <n v="115400"/>
    <n v="0"/>
    <n v="230800"/>
    <n v="127459.47"/>
    <n v="103340.53"/>
    <s v="Credit Card"/>
    <x v="29"/>
    <n v="4"/>
    <n v="0.44774926343154248"/>
  </r>
  <r>
    <s v="ORD-00775"/>
    <d v="2023-02-28T00:00:00"/>
    <d v="2023-03-04T00:00:00"/>
    <s v="CUST-0171"/>
    <s v="Bima Kusuma"/>
    <s v="Consumer"/>
    <s v="Surabaya"/>
    <s v="Jawa Timur"/>
    <x v="2"/>
    <x v="0"/>
    <s v="Stationery"/>
    <s v="PROD-5388"/>
    <x v="18"/>
    <n v="2"/>
    <n v="108900"/>
    <n v="0.05"/>
    <n v="206910"/>
    <n v="124892.15"/>
    <n v="82017.850000000006"/>
    <s v="Bank Transfer"/>
    <x v="31"/>
    <n v="4"/>
    <n v="0.39639384273355566"/>
  </r>
  <r>
    <s v="ORD-00776"/>
    <d v="2024-07-12T00:00:00"/>
    <d v="2024-07-15T00:00:00"/>
    <s v="CUST-0222"/>
    <s v="Dewi Ramadhan"/>
    <s v="Consumer"/>
    <s v="Malang"/>
    <s v="Jawa Timur"/>
    <x v="2"/>
    <x v="2"/>
    <s v="Accessories"/>
    <s v="PROD-1626"/>
    <x v="20"/>
    <n v="2"/>
    <n v="237100"/>
    <n v="0.1"/>
    <n v="426780"/>
    <n v="288551.67999999999"/>
    <n v="138228.32"/>
    <s v="Credit Card"/>
    <x v="29"/>
    <n v="3"/>
    <n v="0.32388659262383429"/>
  </r>
  <r>
    <s v="ORD-00777"/>
    <d v="2023-04-13T00:00:00"/>
    <d v="2023-04-19T00:00:00"/>
    <s v="CUST-0208"/>
    <s v="Maya Hidayat"/>
    <s v="Consumer"/>
    <s v="Semarang"/>
    <s v="Jawa Tengah"/>
    <x v="0"/>
    <x v="2"/>
    <s v="Laptop"/>
    <s v="PROD-8448"/>
    <x v="12"/>
    <n v="3"/>
    <n v="5810400"/>
    <n v="0.1"/>
    <n v="15688080"/>
    <n v="13747077.279999999"/>
    <n v="1941002.72"/>
    <s v="Bank Transfer"/>
    <x v="14"/>
    <n v="6"/>
    <n v="0.12372468268902249"/>
  </r>
  <r>
    <s v="ORD-00778"/>
    <d v="2023-07-27T00:00:00"/>
    <d v="2023-07-29T00:00:00"/>
    <s v="CUST-0049"/>
    <s v="Fajar Saputra"/>
    <s v="Consumer"/>
    <s v="Denpasar"/>
    <s v="Bali"/>
    <x v="2"/>
    <x v="0"/>
    <s v="Binder"/>
    <s v="PROD-9396"/>
    <x v="21"/>
    <n v="2"/>
    <n v="36600"/>
    <n v="0.1"/>
    <n v="65880"/>
    <n v="38261.81"/>
    <n v="27618.19"/>
    <s v="Credit Card"/>
    <x v="13"/>
    <n v="2"/>
    <n v="0.41921964177292043"/>
  </r>
  <r>
    <s v="ORD-00779"/>
    <d v="2025-09-03T00:00:00"/>
    <d v="2025-09-09T00:00:00"/>
    <s v="CUST-0243"/>
    <s v="Nadia Permata"/>
    <s v="Consumer"/>
    <s v="Bogor"/>
    <s v="Jawa Barat"/>
    <x v="1"/>
    <x v="2"/>
    <s v="Smartphone"/>
    <s v="PROD-6076"/>
    <x v="15"/>
    <n v="1"/>
    <n v="4573400"/>
    <n v="0.05"/>
    <n v="4344730"/>
    <n v="3687617.92"/>
    <n v="657112.07999999996"/>
    <s v="Bank Transfer"/>
    <x v="32"/>
    <n v="6"/>
    <n v="0.15124347888131137"/>
  </r>
  <r>
    <s v="ORD-00780"/>
    <d v="2023-02-12T00:00:00"/>
    <d v="2023-02-14T00:00:00"/>
    <s v="CUST-0127"/>
    <s v="Putri Santoso"/>
    <s v="Corporate"/>
    <s v="Bogor"/>
    <s v="Jawa Barat"/>
    <x v="1"/>
    <x v="0"/>
    <s v="Paper"/>
    <s v="PROD-9601"/>
    <x v="9"/>
    <n v="3"/>
    <n v="84600"/>
    <n v="0.1"/>
    <n v="228420"/>
    <n v="149188.29999999999"/>
    <n v="79231.7"/>
    <s v="Bank Transfer"/>
    <x v="31"/>
    <n v="2"/>
    <n v="0.346868487873216"/>
  </r>
  <r>
    <s v="ORD-00781"/>
    <d v="2023-04-03T00:00:00"/>
    <d v="2023-04-10T00:00:00"/>
    <s v="CUST-0172"/>
    <s v="Oki Kusuma"/>
    <s v="Corporate"/>
    <s v="Semarang"/>
    <s v="Jawa Tengah"/>
    <x v="0"/>
    <x v="2"/>
    <s v="Accessories"/>
    <s v="PROD-3744"/>
    <x v="4"/>
    <n v="4"/>
    <n v="133800"/>
    <n v="0"/>
    <n v="535200"/>
    <n v="327335.55"/>
    <n v="207864.45"/>
    <s v="Credit Card"/>
    <x v="14"/>
    <n v="7"/>
    <n v="0.38838649103139017"/>
  </r>
  <r>
    <s v="ORD-00782"/>
    <d v="2024-12-19T00:00:00"/>
    <d v="2024-12-24T00:00:00"/>
    <s v="CUST-0248"/>
    <s v="Dewi Lestari"/>
    <s v="Consumer"/>
    <s v="Yogyakarta"/>
    <s v="DI Yogyakarta"/>
    <x v="0"/>
    <x v="2"/>
    <s v="Printer"/>
    <s v="PROD-5410"/>
    <x v="11"/>
    <n v="5"/>
    <n v="1401100"/>
    <n v="0.05"/>
    <n v="6655225"/>
    <n v="5131311.49"/>
    <n v="1523913.51"/>
    <s v="Bank Transfer"/>
    <x v="23"/>
    <n v="5"/>
    <n v="0.22898001344808028"/>
  </r>
  <r>
    <s v="ORD-00783"/>
    <d v="2025-11-29T00:00:00"/>
    <d v="2025-12-05T00:00:00"/>
    <s v="CUST-0221"/>
    <s v="Lina Putra"/>
    <s v="Small Business"/>
    <s v="Malang"/>
    <s v="Jawa Timur"/>
    <x v="2"/>
    <x v="0"/>
    <s v="Writing"/>
    <s v="PROD-7527"/>
    <x v="5"/>
    <n v="2"/>
    <n v="40800"/>
    <n v="0.1"/>
    <n v="73440"/>
    <n v="44148.58"/>
    <n v="29291.42"/>
    <s v="Credit Card"/>
    <x v="34"/>
    <n v="6"/>
    <n v="0.39884831154684092"/>
  </r>
  <r>
    <s v="ORD-00784"/>
    <d v="2023-07-02T00:00:00"/>
    <d v="2023-07-04T00:00:00"/>
    <s v="CUST-0179"/>
    <s v="Dinda Permata"/>
    <s v="Small Business"/>
    <s v="Bandung"/>
    <s v="Jawa Barat"/>
    <x v="1"/>
    <x v="0"/>
    <s v="Stationery"/>
    <s v="PROD-1004"/>
    <x v="10"/>
    <n v="10"/>
    <n v="29500"/>
    <n v="0"/>
    <n v="295000"/>
    <n v="154428.92000000001"/>
    <n v="140571.07999999999"/>
    <s v="Cash"/>
    <x v="13"/>
    <n v="2"/>
    <n v="0.47651213559322031"/>
  </r>
  <r>
    <s v="ORD-00785"/>
    <d v="2025-03-11T00:00:00"/>
    <d v="2025-03-16T00:00:00"/>
    <s v="CUST-0178"/>
    <s v="Joko Santoso"/>
    <s v="Consumer"/>
    <s v="Yogyakarta"/>
    <s v="DI Yogyakarta"/>
    <x v="0"/>
    <x v="1"/>
    <s v="Desk"/>
    <s v="PROD-6903"/>
    <x v="13"/>
    <n v="5"/>
    <n v="1158800"/>
    <n v="0.15"/>
    <n v="4924900"/>
    <n v="3973851.39"/>
    <n v="951048.61"/>
    <s v="E-Wallet"/>
    <x v="20"/>
    <n v="5"/>
    <n v="0.1931102377713253"/>
  </r>
  <r>
    <s v="ORD-00786"/>
    <d v="2023-01-18T00:00:00"/>
    <d v="2023-01-22T00:00:00"/>
    <s v="CUST-0151"/>
    <s v="Aldi Kusuma"/>
    <s v="Corporate"/>
    <s v="Denpasar"/>
    <s v="Bali"/>
    <x v="2"/>
    <x v="0"/>
    <s v="Writing"/>
    <s v="PROD-7527"/>
    <x v="5"/>
    <n v="3"/>
    <n v="47100"/>
    <n v="0"/>
    <n v="141300"/>
    <n v="72555.62"/>
    <n v="68744.38"/>
    <s v="E-Wallet"/>
    <x v="11"/>
    <n v="4"/>
    <n v="0.48651365888181181"/>
  </r>
  <r>
    <s v="ORD-00787"/>
    <d v="2023-03-25T00:00:00"/>
    <d v="2023-03-27T00:00:00"/>
    <s v="CUST-0180"/>
    <s v="Dinda Lestari"/>
    <s v="Consumer"/>
    <s v="Jakarta"/>
    <s v="DKI Jakarta"/>
    <x v="1"/>
    <x v="2"/>
    <s v="Laptop"/>
    <s v="PROD-8448"/>
    <x v="12"/>
    <n v="2"/>
    <n v="6376100"/>
    <n v="0"/>
    <n v="12752200"/>
    <n v="10025130.300000001"/>
    <n v="2727069.7"/>
    <s v="Bank Transfer"/>
    <x v="24"/>
    <n v="2"/>
    <n v="0.21385091984128229"/>
  </r>
  <r>
    <s v="ORD-00788"/>
    <d v="2025-10-25T00:00:00"/>
    <d v="2025-10-31T00:00:00"/>
    <s v="CUST-0113"/>
    <s v="Bima Kusuma"/>
    <s v="Corporate"/>
    <s v="Bandung"/>
    <s v="Jawa Barat"/>
    <x v="1"/>
    <x v="0"/>
    <s v="Writing"/>
    <s v="PROD-7527"/>
    <x v="5"/>
    <n v="10"/>
    <n v="42400"/>
    <n v="0.1"/>
    <n v="381600"/>
    <n v="211769.57"/>
    <n v="169830.43"/>
    <s v="Credit Card"/>
    <x v="27"/>
    <n v="6"/>
    <n v="0.44504829664570228"/>
  </r>
  <r>
    <s v="ORD-00789"/>
    <d v="2024-12-27T00:00:00"/>
    <d v="2024-12-29T00:00:00"/>
    <s v="CUST-0224"/>
    <s v="Yoga Siregar"/>
    <s v="Consumer"/>
    <s v="Malang"/>
    <s v="Jawa Timur"/>
    <x v="2"/>
    <x v="0"/>
    <s v="Stationery"/>
    <s v="PROD-1004"/>
    <x v="10"/>
    <n v="6"/>
    <n v="29800"/>
    <n v="0.1"/>
    <n v="160920"/>
    <n v="85205.23"/>
    <n v="75714.77"/>
    <s v="Bank Transfer"/>
    <x v="23"/>
    <n v="2"/>
    <n v="0.47051186925180216"/>
  </r>
  <r>
    <s v="ORD-00790"/>
    <d v="2024-10-22T00:00:00"/>
    <d v="2024-10-29T00:00:00"/>
    <s v="CUST-0237"/>
    <s v="Sari Wijaya"/>
    <s v="Consumer"/>
    <s v="Semarang"/>
    <s v="Jawa Tengah"/>
    <x v="0"/>
    <x v="1"/>
    <s v="Storage"/>
    <s v="PROD-2602"/>
    <x v="3"/>
    <n v="3"/>
    <n v="840600"/>
    <n v="0"/>
    <n v="2521800"/>
    <n v="1677963.35"/>
    <n v="843836.65"/>
    <s v="Cash"/>
    <x v="21"/>
    <n v="7"/>
    <n v="0.33461680149099848"/>
  </r>
  <r>
    <s v="ORD-00791"/>
    <d v="2025-02-08T00:00:00"/>
    <d v="2025-02-15T00:00:00"/>
    <s v="CUST-0182"/>
    <s v="Nadia Kusuma"/>
    <s v="Consumer"/>
    <s v="Bandung"/>
    <s v="Jawa Barat"/>
    <x v="1"/>
    <x v="0"/>
    <s v="Stationery"/>
    <s v="PROD-1004"/>
    <x v="10"/>
    <n v="3"/>
    <n v="27300"/>
    <n v="0.1"/>
    <n v="73710"/>
    <n v="39989.85"/>
    <n v="33720.15"/>
    <s v="Cash"/>
    <x v="3"/>
    <n v="7"/>
    <n v="0.45747049247049248"/>
  </r>
  <r>
    <s v="ORD-00792"/>
    <d v="2025-05-11T00:00:00"/>
    <d v="2025-05-15T00:00:00"/>
    <s v="CUST-0192"/>
    <s v="Eka Anggraini"/>
    <s v="Small Business"/>
    <s v="Jakarta"/>
    <s v="DKI Jakarta"/>
    <x v="1"/>
    <x v="1"/>
    <s v="Storage"/>
    <s v="PROD-7524"/>
    <x v="1"/>
    <n v="1"/>
    <n v="912300"/>
    <n v="0.2"/>
    <n v="729840"/>
    <n v="652785.56999999995"/>
    <n v="77054.429999999993"/>
    <s v="Cash"/>
    <x v="6"/>
    <n v="4"/>
    <n v="0.10557715389674448"/>
  </r>
  <r>
    <s v="ORD-00793"/>
    <d v="2024-08-23T00:00:00"/>
    <d v="2024-08-24T00:00:00"/>
    <s v="CUST-0044"/>
    <s v="Bima Lestari"/>
    <s v="Consumer"/>
    <s v="Bogor"/>
    <s v="Jawa Barat"/>
    <x v="1"/>
    <x v="0"/>
    <s v="Stationery"/>
    <s v="PROD-1004"/>
    <x v="10"/>
    <n v="2"/>
    <n v="28800"/>
    <n v="0.05"/>
    <n v="54720"/>
    <n v="29891.919999999998"/>
    <n v="24828.080000000002"/>
    <s v="Bank Transfer"/>
    <x v="28"/>
    <n v="1"/>
    <n v="0.45372953216374273"/>
  </r>
  <r>
    <s v="ORD-00794"/>
    <d v="2023-08-08T00:00:00"/>
    <d v="2023-08-11T00:00:00"/>
    <s v="CUST-0028"/>
    <s v="Zahra Putra"/>
    <s v="Consumer"/>
    <s v="Makassar"/>
    <s v="Sulawesi Selatan"/>
    <x v="2"/>
    <x v="1"/>
    <s v="Desk"/>
    <s v="PROD-6903"/>
    <x v="13"/>
    <n v="5"/>
    <n v="1158400"/>
    <n v="0.1"/>
    <n v="5212800"/>
    <n v="3944308.55"/>
    <n v="1268491.45"/>
    <s v="E-Wallet"/>
    <x v="0"/>
    <n v="3"/>
    <n v="0.24334166858502149"/>
  </r>
  <r>
    <s v="ORD-00795"/>
    <d v="2025-11-23T00:00:00"/>
    <d v="2025-11-25T00:00:00"/>
    <s v="CUST-0249"/>
    <s v="Vina Mahendra"/>
    <s v="Consumer"/>
    <s v="Bogor"/>
    <s v="Jawa Barat"/>
    <x v="1"/>
    <x v="1"/>
    <s v="Desk"/>
    <s v="PROD-4040"/>
    <x v="7"/>
    <n v="2"/>
    <n v="3050400"/>
    <n v="0.3"/>
    <n v="4270560"/>
    <n v="4060613.31"/>
    <n v="209946.69"/>
    <s v="Credit Card"/>
    <x v="34"/>
    <n v="2"/>
    <n v="4.9161395695178148E-2"/>
  </r>
  <r>
    <s v="ORD-00796"/>
    <d v="2024-02-16T00:00:00"/>
    <d v="2024-02-17T00:00:00"/>
    <s v="CUST-0201"/>
    <s v="Bima Siregar"/>
    <s v="Small Business"/>
    <s v="Makassar"/>
    <s v="Sulawesi Selatan"/>
    <x v="2"/>
    <x v="2"/>
    <s v="Smartphone"/>
    <s v="PROD-2176"/>
    <x v="17"/>
    <n v="1"/>
    <n v="2952900"/>
    <n v="0"/>
    <n v="2952900"/>
    <n v="2279560.5"/>
    <n v="673339.5"/>
    <s v="Bank Transfer"/>
    <x v="10"/>
    <n v="1"/>
    <n v="0.22802651630600426"/>
  </r>
  <r>
    <s v="ORD-00797"/>
    <d v="2023-09-07T00:00:00"/>
    <d v="2023-09-10T00:00:00"/>
    <s v="CUST-0222"/>
    <s v="Eka Ramadhan"/>
    <s v="Small Business"/>
    <s v="Semarang"/>
    <s v="Jawa Tengah"/>
    <x v="0"/>
    <x v="1"/>
    <s v="Chair"/>
    <s v="PROD-0956"/>
    <x v="6"/>
    <n v="5"/>
    <n v="682400"/>
    <n v="0.2"/>
    <n v="2729600"/>
    <n v="2249693.9700000002"/>
    <n v="479906.03"/>
    <s v="E-Wallet"/>
    <x v="33"/>
    <n v="3"/>
    <n v="0.17581551509378665"/>
  </r>
  <r>
    <s v="ORD-00798"/>
    <d v="2023-02-14T00:00:00"/>
    <d v="2023-02-16T00:00:00"/>
    <s v="CUST-0253"/>
    <s v="Lina Ramadhan"/>
    <s v="Consumer"/>
    <s v="Bogor"/>
    <s v="Jawa Barat"/>
    <x v="1"/>
    <x v="2"/>
    <s v="Smartphone"/>
    <s v="PROD-6076"/>
    <x v="15"/>
    <n v="2"/>
    <n v="4529900"/>
    <n v="0.1"/>
    <n v="8153820"/>
    <n v="7302302.2000000002"/>
    <n v="851517.8"/>
    <s v="Credit Card"/>
    <x v="31"/>
    <n v="2"/>
    <n v="0.10443176327169351"/>
  </r>
  <r>
    <s v="ORD-00799"/>
    <d v="2024-07-17T00:00:00"/>
    <d v="2024-07-21T00:00:00"/>
    <s v="CUST-0156"/>
    <s v="Bima Ramadhan"/>
    <s v="Consumer"/>
    <s v="Denpasar"/>
    <s v="Bali"/>
    <x v="2"/>
    <x v="1"/>
    <s v="Chair"/>
    <s v="PROD-9951"/>
    <x v="19"/>
    <n v="1"/>
    <n v="1684100"/>
    <n v="0"/>
    <n v="1684100"/>
    <n v="1112201.6000000001"/>
    <n v="571898.4"/>
    <s v="Cash"/>
    <x v="29"/>
    <n v="4"/>
    <n v="0.33958696039427588"/>
  </r>
  <r>
    <s v="ORD-00800"/>
    <d v="2025-06-29T00:00:00"/>
    <d v="2025-06-30T00:00:00"/>
    <s v="CUST-0258"/>
    <s v="Gita Permata"/>
    <s v="Consumer"/>
    <s v="Bogor"/>
    <s v="Jawa Barat"/>
    <x v="1"/>
    <x v="0"/>
    <s v="Binder"/>
    <s v="PROD-7352"/>
    <x v="16"/>
    <n v="1"/>
    <n v="62500"/>
    <n v="0.05"/>
    <n v="59375"/>
    <n v="35154.21"/>
    <n v="24220.79"/>
    <s v="Cash"/>
    <x v="7"/>
    <n v="1"/>
    <n v="0.40792909473684213"/>
  </r>
  <r>
    <s v="ORD-00801"/>
    <d v="2025-12-11T00:00:00"/>
    <d v="2025-12-15T00:00:00"/>
    <s v="CUST-0156"/>
    <s v="Rian Hidayat"/>
    <s v="Consumer"/>
    <s v="Bogor"/>
    <s v="Jawa Barat"/>
    <x v="1"/>
    <x v="1"/>
    <s v="Chair"/>
    <s v="PROD-0956"/>
    <x v="6"/>
    <n v="2"/>
    <n v="707800"/>
    <n v="0"/>
    <n v="1415600"/>
    <n v="953135.87"/>
    <n v="462464.13"/>
    <s v="E-Wallet"/>
    <x v="25"/>
    <n v="4"/>
    <n v="0.32669124752755013"/>
  </r>
  <r>
    <s v="ORD-00802"/>
    <d v="2023-05-20T00:00:00"/>
    <d v="2023-05-27T00:00:00"/>
    <s v="CUST-0067"/>
    <s v="Zahra Permata"/>
    <s v="Corporate"/>
    <s v="Denpasar"/>
    <s v="Bali"/>
    <x v="2"/>
    <x v="0"/>
    <s v="Stationery"/>
    <s v="PROD-1004"/>
    <x v="10"/>
    <n v="3"/>
    <n v="29800"/>
    <n v="0.15"/>
    <n v="75990"/>
    <n v="44607.93"/>
    <n v="31382.07"/>
    <s v="Credit Card"/>
    <x v="22"/>
    <n v="7"/>
    <n v="0.41297631267272011"/>
  </r>
  <r>
    <s v="ORD-00803"/>
    <d v="2024-12-13T00:00:00"/>
    <d v="2024-12-18T00:00:00"/>
    <s v="CUST-0166"/>
    <s v="Nabila Putra"/>
    <s v="Consumer"/>
    <s v="Bandung"/>
    <s v="Jawa Barat"/>
    <x v="1"/>
    <x v="1"/>
    <s v="Desk"/>
    <s v="PROD-4040"/>
    <x v="7"/>
    <n v="1"/>
    <n v="3296000"/>
    <n v="0.05"/>
    <n v="3131200"/>
    <n v="2395593.21"/>
    <n v="735606.79"/>
    <s v="Credit Card"/>
    <x v="23"/>
    <n v="5"/>
    <n v="0.23492807549821157"/>
  </r>
  <r>
    <s v="ORD-00804"/>
    <d v="2024-04-29T00:00:00"/>
    <d v="2024-04-30T00:00:00"/>
    <s v="CUST-0038"/>
    <s v="Oki Utami"/>
    <s v="Corporate"/>
    <s v="Malang"/>
    <s v="Jawa Timur"/>
    <x v="2"/>
    <x v="0"/>
    <s v="Writing"/>
    <s v="PROD-7527"/>
    <x v="5"/>
    <n v="6"/>
    <n v="41100"/>
    <n v="0"/>
    <n v="246600"/>
    <n v="122444.17"/>
    <n v="124155.83"/>
    <s v="Cash"/>
    <x v="1"/>
    <n v="1"/>
    <n v="0.50347051905920515"/>
  </r>
  <r>
    <s v="ORD-00805"/>
    <d v="2025-02-05T00:00:00"/>
    <d v="2025-02-10T00:00:00"/>
    <s v="CUST-0130"/>
    <s v="Putri Kusuma"/>
    <s v="Consumer"/>
    <s v="Bogor"/>
    <s v="Jawa Barat"/>
    <x v="1"/>
    <x v="0"/>
    <s v="Paper"/>
    <s v="PROD-7955"/>
    <x v="8"/>
    <n v="2"/>
    <n v="64800"/>
    <n v="0.1"/>
    <n v="116640"/>
    <n v="69566.820000000007"/>
    <n v="47073.18"/>
    <s v="Cash"/>
    <x v="3"/>
    <n v="5"/>
    <n v="0.40357664609053501"/>
  </r>
  <r>
    <s v="ORD-00806"/>
    <d v="2024-08-08T00:00:00"/>
    <d v="2024-08-10T00:00:00"/>
    <s v="CUST-0018"/>
    <s v="Rizky Wijaya"/>
    <s v="Corporate"/>
    <s v="Malang"/>
    <s v="Jawa Timur"/>
    <x v="2"/>
    <x v="2"/>
    <s v="Smartphone"/>
    <s v="PROD-2176"/>
    <x v="17"/>
    <n v="1"/>
    <n v="2897100"/>
    <n v="0.25"/>
    <n v="2172825"/>
    <n v="2119243.61"/>
    <n v="53581.39"/>
    <s v="Credit Card"/>
    <x v="28"/>
    <n v="2"/>
    <n v="2.4659781620701159E-2"/>
  </r>
  <r>
    <s v="ORD-00807"/>
    <d v="2023-01-11T00:00:00"/>
    <d v="2023-01-14T00:00:00"/>
    <s v="CUST-0183"/>
    <s v="Vina Siregar"/>
    <s v="Consumer"/>
    <s v="Surabaya"/>
    <s v="Jawa Timur"/>
    <x v="2"/>
    <x v="0"/>
    <s v="Paper"/>
    <s v="PROD-9601"/>
    <x v="9"/>
    <n v="1"/>
    <n v="71900"/>
    <n v="0.2"/>
    <n v="57520"/>
    <n v="42332.14"/>
    <n v="15187.86"/>
    <s v="Cash"/>
    <x v="11"/>
    <n v="3"/>
    <n v="0.2640448539638387"/>
  </r>
  <r>
    <s v="ORD-00808"/>
    <d v="2023-10-10T00:00:00"/>
    <d v="2023-10-17T00:00:00"/>
    <s v="CUST-0027"/>
    <s v="Vina Saputra"/>
    <s v="Small Business"/>
    <s v="Malang"/>
    <s v="Jawa Timur"/>
    <x v="2"/>
    <x v="2"/>
    <s v="Accessories"/>
    <s v="PROD-1626"/>
    <x v="20"/>
    <n v="1"/>
    <n v="233200"/>
    <n v="0"/>
    <n v="233200"/>
    <n v="141995.38"/>
    <n v="91204.62"/>
    <s v="Bank Transfer"/>
    <x v="30"/>
    <n v="7"/>
    <n v="0.39110042881646651"/>
  </r>
  <r>
    <s v="ORD-00809"/>
    <d v="2024-11-08T00:00:00"/>
    <d v="2024-11-09T00:00:00"/>
    <s v="CUST-0124"/>
    <s v="Bayu Saputra"/>
    <s v="Consumer"/>
    <s v="Yogyakarta"/>
    <s v="DI Yogyakarta"/>
    <x v="0"/>
    <x v="2"/>
    <s v="Accessories"/>
    <s v="PROD-3744"/>
    <x v="4"/>
    <n v="1"/>
    <n v="136500"/>
    <n v="0.25"/>
    <n v="102375"/>
    <n v="75981.11"/>
    <n v="26393.89"/>
    <s v="E-Wallet"/>
    <x v="2"/>
    <n v="1"/>
    <n v="0.25781577533577532"/>
  </r>
  <r>
    <s v="ORD-00810"/>
    <d v="2025-10-21T00:00:00"/>
    <d v="2025-10-24T00:00:00"/>
    <s v="CUST-0017"/>
    <s v="Kartika Hidayat"/>
    <s v="Corporate"/>
    <s v="Medan"/>
    <s v="Sumatera Utara"/>
    <x v="1"/>
    <x v="1"/>
    <s v="Chair"/>
    <s v="PROD-9951"/>
    <x v="19"/>
    <n v="3"/>
    <n v="1935700"/>
    <n v="0.3"/>
    <n v="4064970"/>
    <n v="3966524.01"/>
    <n v="98445.99"/>
    <s v="Bank Transfer"/>
    <x v="27"/>
    <n v="3"/>
    <n v="2.4218134451176761E-2"/>
  </r>
  <r>
    <s v="ORD-00811"/>
    <d v="2024-06-18T00:00:00"/>
    <d v="2024-06-20T00:00:00"/>
    <s v="CUST-0038"/>
    <s v="Rizky Anggraini"/>
    <s v="Consumer"/>
    <s v="Bogor"/>
    <s v="Jawa Barat"/>
    <x v="1"/>
    <x v="2"/>
    <s v="Laptop"/>
    <s v="PROD-7745"/>
    <x v="14"/>
    <n v="6"/>
    <n v="8576700"/>
    <n v="0.2"/>
    <n v="41168160"/>
    <n v="39361473.899999999"/>
    <n v="1806686.1"/>
    <s v="E-Wallet"/>
    <x v="35"/>
    <n v="2"/>
    <n v="4.3885519780335093E-2"/>
  </r>
  <r>
    <s v="ORD-00812"/>
    <d v="2023-03-14T00:00:00"/>
    <d v="2023-03-17T00:00:00"/>
    <s v="CUST-0054"/>
    <s v="Bima Kusuma"/>
    <s v="Corporate"/>
    <s v="Makassar"/>
    <s v="Sulawesi Selatan"/>
    <x v="2"/>
    <x v="0"/>
    <s v="Stationery"/>
    <s v="PROD-1004"/>
    <x v="10"/>
    <n v="5"/>
    <n v="27100"/>
    <n v="0"/>
    <n v="135500"/>
    <n v="69318.559999999998"/>
    <n v="66181.440000000002"/>
    <s v="Bank Transfer"/>
    <x v="24"/>
    <n v="3"/>
    <n v="0.4884239114391144"/>
  </r>
  <r>
    <s v="ORD-00813"/>
    <d v="2025-11-05T00:00:00"/>
    <d v="2025-11-07T00:00:00"/>
    <s v="CUST-0195"/>
    <s v="Yoga Ramadhan"/>
    <s v="Consumer"/>
    <s v="Denpasar"/>
    <s v="Bali"/>
    <x v="2"/>
    <x v="0"/>
    <s v="Stationery"/>
    <s v="PROD-1004"/>
    <x v="10"/>
    <n v="1"/>
    <n v="24600"/>
    <n v="0.15"/>
    <n v="20910"/>
    <n v="12722.72"/>
    <n v="8187.28"/>
    <s v="Credit Card"/>
    <x v="34"/>
    <n v="2"/>
    <n v="0.39154854136776662"/>
  </r>
  <r>
    <s v="ORD-00814"/>
    <d v="2023-02-07T00:00:00"/>
    <d v="2023-02-12T00:00:00"/>
    <s v="CUST-0189"/>
    <s v="Lina Putra"/>
    <s v="Corporate"/>
    <s v="Malang"/>
    <s v="Jawa Timur"/>
    <x v="2"/>
    <x v="1"/>
    <s v="Desk"/>
    <s v="PROD-4040"/>
    <x v="7"/>
    <n v="3"/>
    <n v="3215800"/>
    <n v="0"/>
    <n v="9647400"/>
    <n v="6519108.25"/>
    <n v="3128291.75"/>
    <s v="Cash"/>
    <x v="31"/>
    <n v="5"/>
    <n v="0.32426267699069178"/>
  </r>
  <r>
    <s v="ORD-00815"/>
    <d v="2024-12-03T00:00:00"/>
    <d v="2024-12-07T00:00:00"/>
    <s v="CUST-0024"/>
    <s v="Rizky Pratama"/>
    <s v="Consumer"/>
    <s v="Semarang"/>
    <s v="Jawa Tengah"/>
    <x v="0"/>
    <x v="0"/>
    <s v="Writing"/>
    <s v="PROD-7529"/>
    <x v="0"/>
    <n v="1"/>
    <n v="72400"/>
    <n v="0.2"/>
    <n v="57920"/>
    <n v="41172.53"/>
    <n v="16747.47"/>
    <s v="Bank Transfer"/>
    <x v="23"/>
    <n v="4"/>
    <n v="0.28914830801104974"/>
  </r>
  <r>
    <s v="ORD-00816"/>
    <d v="2024-05-26T00:00:00"/>
    <d v="2024-06-02T00:00:00"/>
    <s v="CUST-0150"/>
    <s v="Eka Anggraini"/>
    <s v="Consumer"/>
    <s v="Bogor"/>
    <s v="Jawa Barat"/>
    <x v="1"/>
    <x v="2"/>
    <s v="Laptop"/>
    <s v="PROD-7745"/>
    <x v="14"/>
    <n v="1"/>
    <n v="8010800"/>
    <n v="0.1"/>
    <n v="7209720"/>
    <n v="6134401.29"/>
    <n v="1075318.71"/>
    <s v="E-Wallet"/>
    <x v="15"/>
    <n v="7"/>
    <n v="0.14914847039829562"/>
  </r>
  <r>
    <s v="ORD-00817"/>
    <d v="2025-03-25T00:00:00"/>
    <d v="2025-03-29T00:00:00"/>
    <s v="CUST-0113"/>
    <s v="Oki Mahendra"/>
    <s v="Consumer"/>
    <s v="Bandung"/>
    <s v="Jawa Barat"/>
    <x v="1"/>
    <x v="0"/>
    <s v="Paper"/>
    <s v="PROD-9601"/>
    <x v="9"/>
    <n v="2"/>
    <n v="80700"/>
    <n v="0.05"/>
    <n v="153330"/>
    <n v="100067.77"/>
    <n v="53262.23"/>
    <s v="Credit Card"/>
    <x v="20"/>
    <n v="4"/>
    <n v="0.34736992108524101"/>
  </r>
  <r>
    <s v="ORD-00818"/>
    <d v="2024-09-11T00:00:00"/>
    <d v="2024-09-14T00:00:00"/>
    <s v="CUST-0211"/>
    <s v="Zahra Anggraini"/>
    <s v="Corporate"/>
    <s v="Semarang"/>
    <s v="Jawa Tengah"/>
    <x v="0"/>
    <x v="0"/>
    <s v="Binder"/>
    <s v="PROD-9396"/>
    <x v="21"/>
    <n v="2"/>
    <n v="38700"/>
    <n v="0"/>
    <n v="77400"/>
    <n v="38508.92"/>
    <n v="38891.08"/>
    <s v="E-Wallet"/>
    <x v="16"/>
    <n v="3"/>
    <n v="0.50246873385012925"/>
  </r>
  <r>
    <s v="ORD-00819"/>
    <d v="2025-09-22T00:00:00"/>
    <d v="2025-09-25T00:00:00"/>
    <s v="CUST-0121"/>
    <s v="Zahra Kusuma"/>
    <s v="Consumer"/>
    <s v="Medan"/>
    <s v="Sumatera Utara"/>
    <x v="1"/>
    <x v="2"/>
    <s v="Smartphone"/>
    <s v="PROD-2176"/>
    <x v="17"/>
    <n v="1"/>
    <n v="3390300"/>
    <n v="0.15"/>
    <n v="2881755"/>
    <n v="2459810.9"/>
    <n v="421944.1"/>
    <s v="Credit Card"/>
    <x v="32"/>
    <n v="3"/>
    <n v="0.14641914388974772"/>
  </r>
  <r>
    <s v="ORD-00820"/>
    <d v="2025-07-18T00:00:00"/>
    <d v="2025-07-19T00:00:00"/>
    <s v="CUST-0197"/>
    <s v="Putri Pratama"/>
    <s v="Consumer"/>
    <s v="Yogyakarta"/>
    <s v="DI Yogyakarta"/>
    <x v="0"/>
    <x v="2"/>
    <s v="Laptop"/>
    <s v="PROD-7745"/>
    <x v="14"/>
    <n v="2"/>
    <n v="9121000"/>
    <n v="0"/>
    <n v="18242000"/>
    <n v="15098061.130000001"/>
    <n v="3143938.87"/>
    <s v="Cash"/>
    <x v="19"/>
    <n v="1"/>
    <n v="0.17234617202061178"/>
  </r>
  <r>
    <s v="ORD-00821"/>
    <d v="2025-02-22T00:00:00"/>
    <d v="2025-02-26T00:00:00"/>
    <s v="CUST-0014"/>
    <s v="Rian Anggraini"/>
    <s v="Consumer"/>
    <s v="Semarang"/>
    <s v="Jawa Tengah"/>
    <x v="0"/>
    <x v="1"/>
    <s v="Chair"/>
    <s v="PROD-0956"/>
    <x v="6"/>
    <n v="2"/>
    <n v="679400"/>
    <n v="0"/>
    <n v="1358800"/>
    <n v="912408.78"/>
    <n v="446391.22"/>
    <s v="Cash"/>
    <x v="3"/>
    <n v="4"/>
    <n v="0.32851870768324992"/>
  </r>
  <r>
    <s v="ORD-00822"/>
    <d v="2024-11-19T00:00:00"/>
    <d v="2024-11-26T00:00:00"/>
    <s v="CUST-0056"/>
    <s v="Sari Hidayat"/>
    <s v="Consumer"/>
    <s v="Jakarta"/>
    <s v="DKI Jakarta"/>
    <x v="1"/>
    <x v="0"/>
    <s v="Writing"/>
    <s v="PROD-7529"/>
    <x v="0"/>
    <n v="5"/>
    <n v="72900"/>
    <n v="0.25"/>
    <n v="273375"/>
    <n v="206240.85"/>
    <n v="67134.149999999994"/>
    <s v="Cash"/>
    <x v="2"/>
    <n v="7"/>
    <n v="0.2455753086419753"/>
  </r>
  <r>
    <s v="ORD-00823"/>
    <d v="2024-08-11T00:00:00"/>
    <d v="2024-08-18T00:00:00"/>
    <s v="CUST-0068"/>
    <s v="Rian Pratama"/>
    <s v="Corporate"/>
    <s v="Malang"/>
    <s v="Jawa Timur"/>
    <x v="2"/>
    <x v="0"/>
    <s v="Stationery"/>
    <s v="PROD-5388"/>
    <x v="18"/>
    <n v="1"/>
    <n v="113100"/>
    <n v="0.15"/>
    <n v="96135"/>
    <n v="68992.97"/>
    <n v="27142.03"/>
    <s v="E-Wallet"/>
    <x v="28"/>
    <n v="7"/>
    <n v="0.28233244916003536"/>
  </r>
  <r>
    <s v="ORD-00824"/>
    <d v="2024-07-28T00:00:00"/>
    <d v="2024-08-04T00:00:00"/>
    <s v="CUST-0129"/>
    <s v="Rizky Ramadhan"/>
    <s v="Small Business"/>
    <s v="Bandung"/>
    <s v="Jawa Barat"/>
    <x v="1"/>
    <x v="0"/>
    <s v="Binder"/>
    <s v="PROD-9396"/>
    <x v="21"/>
    <n v="2"/>
    <n v="37500"/>
    <n v="0.1"/>
    <n v="67500"/>
    <n v="37388.26"/>
    <n v="30111.74"/>
    <s v="E-Wallet"/>
    <x v="29"/>
    <n v="7"/>
    <n v="0.44609985185185186"/>
  </r>
  <r>
    <s v="ORD-00825"/>
    <d v="2023-01-26T00:00:00"/>
    <d v="2023-01-27T00:00:00"/>
    <s v="CUST-0246"/>
    <s v="Wulan Nugroho"/>
    <s v="Small Business"/>
    <s v="Yogyakarta"/>
    <s v="DI Yogyakarta"/>
    <x v="0"/>
    <x v="2"/>
    <s v="Accessories"/>
    <s v="PROD-4943"/>
    <x v="2"/>
    <n v="2"/>
    <n v="483400"/>
    <n v="0.05"/>
    <n v="918460"/>
    <n v="644710.93999999994"/>
    <n v="273749.06"/>
    <s v="Cash"/>
    <x v="11"/>
    <n v="1"/>
    <n v="0.29805223961849181"/>
  </r>
  <r>
    <s v="ORD-00826"/>
    <d v="2024-03-22T00:00:00"/>
    <d v="2024-03-26T00:00:00"/>
    <s v="CUST-0133"/>
    <s v="Bayu Kusuma"/>
    <s v="Small Business"/>
    <s v="Yogyakarta"/>
    <s v="DI Yogyakarta"/>
    <x v="0"/>
    <x v="2"/>
    <s v="Laptop"/>
    <s v="PROD-8448"/>
    <x v="12"/>
    <n v="8"/>
    <n v="6081100"/>
    <n v="0"/>
    <n v="48648800"/>
    <n v="40953557.799999997"/>
    <n v="7695242.2000000002"/>
    <s v="E-Wallet"/>
    <x v="18"/>
    <n v="4"/>
    <n v="0.15817948644159774"/>
  </r>
  <r>
    <s v="ORD-00827"/>
    <d v="2023-09-18T00:00:00"/>
    <d v="2023-09-20T00:00:00"/>
    <s v="CUST-0163"/>
    <s v="Bima Saputra"/>
    <s v="Corporate"/>
    <s v="Makassar"/>
    <s v="Sulawesi Selatan"/>
    <x v="2"/>
    <x v="0"/>
    <s v="Writing"/>
    <s v="PROD-7527"/>
    <x v="5"/>
    <n v="1"/>
    <n v="40900"/>
    <n v="0.1"/>
    <n v="36810"/>
    <n v="22583.94"/>
    <n v="14226.06"/>
    <s v="Credit Card"/>
    <x v="33"/>
    <n v="2"/>
    <n v="0.38647269763651182"/>
  </r>
  <r>
    <s v="ORD-00828"/>
    <d v="2024-04-11T00:00:00"/>
    <d v="2024-04-12T00:00:00"/>
    <s v="CUST-0260"/>
    <s v="Oki Santoso"/>
    <s v="Consumer"/>
    <s v="Yogyakarta"/>
    <s v="DI Yogyakarta"/>
    <x v="0"/>
    <x v="0"/>
    <s v="Binder"/>
    <s v="PROD-9396"/>
    <x v="21"/>
    <n v="2"/>
    <n v="34600"/>
    <n v="0"/>
    <n v="69200"/>
    <n v="33361.019999999997"/>
    <n v="35838.980000000003"/>
    <s v="E-Wallet"/>
    <x v="1"/>
    <n v="1"/>
    <n v="0.5179043352601157"/>
  </r>
  <r>
    <s v="ORD-00829"/>
    <d v="2025-11-12T00:00:00"/>
    <d v="2025-11-13T00:00:00"/>
    <s v="CUST-0185"/>
    <s v="Kartika Hidayat"/>
    <s v="Consumer"/>
    <s v="Makassar"/>
    <s v="Sulawesi Selatan"/>
    <x v="2"/>
    <x v="2"/>
    <s v="Accessories"/>
    <s v="PROD-4943"/>
    <x v="2"/>
    <n v="1"/>
    <n v="482000"/>
    <n v="0"/>
    <n v="482000"/>
    <n v="284857.37"/>
    <n v="197142.63"/>
    <s v="Cash"/>
    <x v="34"/>
    <n v="1"/>
    <n v="0.40900960580912865"/>
  </r>
  <r>
    <s v="ORD-00830"/>
    <d v="2025-02-06T00:00:00"/>
    <d v="2025-02-10T00:00:00"/>
    <s v="CUST-0109"/>
    <s v="Rizky Permata"/>
    <s v="Consumer"/>
    <s v="Makassar"/>
    <s v="Sulawesi Selatan"/>
    <x v="2"/>
    <x v="0"/>
    <s v="Binder"/>
    <s v="PROD-9396"/>
    <x v="21"/>
    <n v="1"/>
    <n v="42000"/>
    <n v="0.25"/>
    <n v="31500"/>
    <n v="20019.71"/>
    <n v="11480.29"/>
    <s v="E-Wallet"/>
    <x v="3"/>
    <n v="4"/>
    <n v="0.36445365079365083"/>
  </r>
  <r>
    <s v="ORD-00831"/>
    <d v="2025-11-12T00:00:00"/>
    <d v="2025-11-18T00:00:00"/>
    <s v="CUST-0040"/>
    <s v="Rian Putra"/>
    <s v="Consumer"/>
    <s v="Semarang"/>
    <s v="Jawa Tengah"/>
    <x v="0"/>
    <x v="0"/>
    <s v="Binder"/>
    <s v="PROD-7352"/>
    <x v="16"/>
    <n v="3"/>
    <n v="52200"/>
    <n v="0.15"/>
    <n v="133110"/>
    <n v="85852.93"/>
    <n v="47257.07"/>
    <s v="Bank Transfer"/>
    <x v="34"/>
    <n v="6"/>
    <n v="0.35502268800240405"/>
  </r>
  <r>
    <s v="ORD-00832"/>
    <d v="2025-10-28T00:00:00"/>
    <d v="2025-11-02T00:00:00"/>
    <s v="CUST-0100"/>
    <s v="Anisa Anggraini"/>
    <s v="Corporate"/>
    <s v="Medan"/>
    <s v="Sumatera Utara"/>
    <x v="1"/>
    <x v="0"/>
    <s v="Stationery"/>
    <s v="PROD-1004"/>
    <x v="10"/>
    <n v="3"/>
    <n v="28200"/>
    <n v="0.1"/>
    <n v="76140"/>
    <n v="41089.29"/>
    <n v="35050.71"/>
    <s v="Bank Transfer"/>
    <x v="27"/>
    <n v="5"/>
    <n v="0.46034554767533492"/>
  </r>
  <r>
    <s v="ORD-00833"/>
    <d v="2024-08-23T00:00:00"/>
    <d v="2024-08-25T00:00:00"/>
    <s v="CUST-0041"/>
    <s v="Lina Saputra"/>
    <s v="Consumer"/>
    <s v="Semarang"/>
    <s v="Jawa Tengah"/>
    <x v="0"/>
    <x v="2"/>
    <s v="Accessories"/>
    <s v="PROD-4943"/>
    <x v="2"/>
    <n v="3"/>
    <n v="484000"/>
    <n v="0.25"/>
    <n v="1089000"/>
    <n v="903202.11"/>
    <n v="185797.89"/>
    <s v="Bank Transfer"/>
    <x v="28"/>
    <n v="2"/>
    <n v="0.17061330578512399"/>
  </r>
  <r>
    <s v="ORD-00834"/>
    <d v="2025-11-01T00:00:00"/>
    <d v="2025-11-02T00:00:00"/>
    <s v="CUST-0126"/>
    <s v="Nabila Siregar"/>
    <s v="Consumer"/>
    <s v="Makassar"/>
    <s v="Sulawesi Selatan"/>
    <x v="2"/>
    <x v="0"/>
    <s v="Stationery"/>
    <s v="PROD-5388"/>
    <x v="18"/>
    <n v="1"/>
    <n v="124400"/>
    <n v="0.3"/>
    <n v="87080"/>
    <n v="75895.899999999994"/>
    <n v="11184.1"/>
    <s v="Cash"/>
    <x v="34"/>
    <n v="1"/>
    <n v="0.12843477262287553"/>
  </r>
  <r>
    <s v="ORD-00835"/>
    <d v="2025-04-14T00:00:00"/>
    <d v="2025-04-20T00:00:00"/>
    <s v="CUST-0076"/>
    <s v="Toni Kusuma"/>
    <s v="Consumer"/>
    <s v="Makassar"/>
    <s v="Sulawesi Selatan"/>
    <x v="2"/>
    <x v="1"/>
    <s v="Chair"/>
    <s v="PROD-0956"/>
    <x v="6"/>
    <n v="2"/>
    <n v="601900"/>
    <n v="0.05"/>
    <n v="1143610"/>
    <n v="782491.86"/>
    <n v="361118.14"/>
    <s v="E-Wallet"/>
    <x v="5"/>
    <n v="6"/>
    <n v="0.31577035877615622"/>
  </r>
  <r>
    <s v="ORD-00836"/>
    <d v="2024-02-10T00:00:00"/>
    <d v="2024-02-12T00:00:00"/>
    <s v="CUST-0018"/>
    <s v="Anisa Hidayat"/>
    <s v="Consumer"/>
    <s v="Bogor"/>
    <s v="Jawa Barat"/>
    <x v="1"/>
    <x v="0"/>
    <s v="Paper"/>
    <s v="PROD-7955"/>
    <x v="8"/>
    <n v="4"/>
    <n v="61300"/>
    <n v="0.05"/>
    <n v="232940"/>
    <n v="129887.63"/>
    <n v="103052.37"/>
    <s v="E-Wallet"/>
    <x v="10"/>
    <n v="2"/>
    <n v="0.44239877221602125"/>
  </r>
  <r>
    <s v="ORD-00837"/>
    <d v="2023-02-19T00:00:00"/>
    <d v="2023-02-25T00:00:00"/>
    <s v="CUST-0151"/>
    <s v="Dewi Permata"/>
    <s v="Consumer"/>
    <s v="Bogor"/>
    <s v="Jawa Barat"/>
    <x v="1"/>
    <x v="2"/>
    <s v="Laptop"/>
    <s v="PROD-8448"/>
    <x v="12"/>
    <n v="6"/>
    <n v="5965600"/>
    <n v="0.05"/>
    <n v="34003920"/>
    <n v="29276367.219999999"/>
    <n v="4727552.78"/>
    <s v="Cash"/>
    <x v="31"/>
    <n v="6"/>
    <n v="0.13902964070024867"/>
  </r>
  <r>
    <s v="ORD-00838"/>
    <d v="2024-11-20T00:00:00"/>
    <d v="2024-11-25T00:00:00"/>
    <s v="CUST-0224"/>
    <s v="Joko Utami"/>
    <s v="Consumer"/>
    <s v="Jakarta"/>
    <s v="DKI Jakarta"/>
    <x v="1"/>
    <x v="1"/>
    <s v="Chair"/>
    <s v="PROD-9951"/>
    <x v="19"/>
    <n v="8"/>
    <n v="1925600"/>
    <n v="0.1"/>
    <n v="13864320"/>
    <n v="10637813.039999999"/>
    <n v="3226506.96"/>
    <s v="E-Wallet"/>
    <x v="2"/>
    <n v="5"/>
    <n v="0.23272017379864285"/>
  </r>
  <r>
    <s v="ORD-00839"/>
    <d v="2025-09-04T00:00:00"/>
    <d v="2025-09-10T00:00:00"/>
    <s v="CUST-0233"/>
    <s v="Maya Permata"/>
    <s v="Small Business"/>
    <s v="Makassar"/>
    <s v="Sulawesi Selatan"/>
    <x v="2"/>
    <x v="2"/>
    <s v="Smartphone"/>
    <s v="PROD-2176"/>
    <x v="17"/>
    <n v="1"/>
    <n v="2885500"/>
    <n v="0.1"/>
    <n v="2596950"/>
    <n v="2275453.42"/>
    <n v="321496.58"/>
    <s v="Bank Transfer"/>
    <x v="32"/>
    <n v="6"/>
    <n v="0.123797755058819"/>
  </r>
  <r>
    <s v="ORD-00840"/>
    <d v="2025-06-17T00:00:00"/>
    <d v="2025-06-19T00:00:00"/>
    <s v="CUST-0219"/>
    <s v="Joko Permata"/>
    <s v="Small Business"/>
    <s v="Yogyakarta"/>
    <s v="DI Yogyakarta"/>
    <x v="0"/>
    <x v="1"/>
    <s v="Storage"/>
    <s v="PROD-7524"/>
    <x v="1"/>
    <n v="1"/>
    <n v="988400"/>
    <n v="0"/>
    <n v="988400"/>
    <n v="683738.26"/>
    <n v="304661.74"/>
    <s v="Bank Transfer"/>
    <x v="7"/>
    <n v="2"/>
    <n v="0.30823729259409144"/>
  </r>
  <r>
    <s v="ORD-00841"/>
    <d v="2025-02-25T00:00:00"/>
    <d v="2025-02-28T00:00:00"/>
    <s v="CUST-0178"/>
    <s v="Joko Wijaya"/>
    <s v="Corporate"/>
    <s v="Jakarta"/>
    <s v="DKI Jakarta"/>
    <x v="1"/>
    <x v="0"/>
    <s v="Writing"/>
    <s v="PROD-7527"/>
    <x v="5"/>
    <n v="2"/>
    <n v="43300"/>
    <n v="0.2"/>
    <n v="69280"/>
    <n v="44620.76"/>
    <n v="24659.24"/>
    <s v="Credit Card"/>
    <x v="3"/>
    <n v="3"/>
    <n v="0.35593591224018478"/>
  </r>
  <r>
    <s v="ORD-00842"/>
    <d v="2023-08-31T00:00:00"/>
    <d v="2023-09-03T00:00:00"/>
    <s v="CUST-0119"/>
    <s v="Yoga Lestari"/>
    <s v="Small Business"/>
    <s v="Semarang"/>
    <s v="Jawa Tengah"/>
    <x v="0"/>
    <x v="2"/>
    <s v="Printer"/>
    <s v="PROD-5410"/>
    <x v="11"/>
    <n v="6"/>
    <n v="1387800"/>
    <n v="0.1"/>
    <n v="7494120"/>
    <n v="5778239.4800000004"/>
    <n v="1715880.52"/>
    <s v="E-Wallet"/>
    <x v="0"/>
    <n v="3"/>
    <n v="0.22896357677752691"/>
  </r>
  <r>
    <s v="ORD-00843"/>
    <d v="2023-10-16T00:00:00"/>
    <d v="2023-10-17T00:00:00"/>
    <s v="CUST-0014"/>
    <s v="Lina Putra"/>
    <s v="Corporate"/>
    <s v="Jakarta"/>
    <s v="DKI Jakarta"/>
    <x v="1"/>
    <x v="2"/>
    <s v="Smartphone"/>
    <s v="PROD-2176"/>
    <x v="17"/>
    <n v="8"/>
    <n v="3260000"/>
    <n v="0.15"/>
    <n v="22168000"/>
    <n v="18846934.010000002"/>
    <n v="3321065.99"/>
    <s v="Bank Transfer"/>
    <x v="30"/>
    <n v="1"/>
    <n v="0.14981351452544209"/>
  </r>
  <r>
    <s v="ORD-00844"/>
    <d v="2024-07-31T00:00:00"/>
    <d v="2024-08-05T00:00:00"/>
    <s v="CUST-0228"/>
    <s v="Dinda Hidayat"/>
    <s v="Consumer"/>
    <s v="Medan"/>
    <s v="Sumatera Utara"/>
    <x v="1"/>
    <x v="1"/>
    <s v="Desk"/>
    <s v="PROD-4040"/>
    <x v="7"/>
    <n v="1"/>
    <n v="2911000"/>
    <n v="0.15"/>
    <n v="2474350"/>
    <n v="2159588.56"/>
    <n v="314761.44"/>
    <s v="Cash"/>
    <x v="29"/>
    <n v="5"/>
    <n v="0.12720974801463011"/>
  </r>
  <r>
    <s v="ORD-00845"/>
    <d v="2025-10-07T00:00:00"/>
    <d v="2025-10-10T00:00:00"/>
    <s v="CUST-0039"/>
    <s v="Kartika Wijaya"/>
    <s v="Corporate"/>
    <s v="Yogyakarta"/>
    <s v="DI Yogyakarta"/>
    <x v="0"/>
    <x v="2"/>
    <s v="Smartphone"/>
    <s v="PROD-2176"/>
    <x v="17"/>
    <n v="8"/>
    <n v="3445800"/>
    <n v="0.15"/>
    <n v="23431440"/>
    <n v="20508774.390000001"/>
    <n v="2922665.61"/>
    <s v="Bank Transfer"/>
    <x v="27"/>
    <n v="3"/>
    <n v="0.12473265023404451"/>
  </r>
  <r>
    <s v="ORD-00846"/>
    <d v="2025-11-04T00:00:00"/>
    <d v="2025-11-07T00:00:00"/>
    <s v="CUST-0019"/>
    <s v="Wulan Ramadhan"/>
    <s v="Small Business"/>
    <s v="Surabaya"/>
    <s v="Jawa Timur"/>
    <x v="2"/>
    <x v="2"/>
    <s v="Laptop"/>
    <s v="PROD-8448"/>
    <x v="12"/>
    <n v="2"/>
    <n v="6741200"/>
    <n v="0.15"/>
    <n v="11460040"/>
    <n v="10691850.99"/>
    <n v="768189.01"/>
    <s v="Bank Transfer"/>
    <x v="34"/>
    <n v="3"/>
    <n v="6.703196585701271E-2"/>
  </r>
  <r>
    <s v="ORD-00847"/>
    <d v="2023-01-17T00:00:00"/>
    <d v="2023-01-19T00:00:00"/>
    <s v="CUST-0068"/>
    <s v="Gita Ramadhan"/>
    <s v="Corporate"/>
    <s v="Semarang"/>
    <s v="Jawa Tengah"/>
    <x v="0"/>
    <x v="2"/>
    <s v="Accessories"/>
    <s v="PROD-1626"/>
    <x v="20"/>
    <n v="2"/>
    <n v="231500"/>
    <n v="0"/>
    <n v="463000"/>
    <n v="281848.78000000003"/>
    <n v="181151.22"/>
    <s v="E-Wallet"/>
    <x v="11"/>
    <n v="2"/>
    <n v="0.39125533477321817"/>
  </r>
  <r>
    <s v="ORD-00848"/>
    <d v="2023-07-01T00:00:00"/>
    <d v="2023-07-06T00:00:00"/>
    <s v="CUST-0135"/>
    <s v="Vina Hidayat"/>
    <s v="Consumer"/>
    <s v="Jakarta"/>
    <s v="DKI Jakarta"/>
    <x v="1"/>
    <x v="0"/>
    <s v="Writing"/>
    <s v="PROD-7529"/>
    <x v="0"/>
    <n v="3"/>
    <n v="64300"/>
    <n v="0"/>
    <n v="192900"/>
    <n v="104620.24"/>
    <n v="88279.76"/>
    <s v="Cash"/>
    <x v="13"/>
    <n v="5"/>
    <n v="0.45764520476931048"/>
  </r>
  <r>
    <s v="ORD-00849"/>
    <d v="2024-04-25T00:00:00"/>
    <d v="2024-05-01T00:00:00"/>
    <s v="CUST-0183"/>
    <s v="Sari Kusuma"/>
    <s v="Small Business"/>
    <s v="Bogor"/>
    <s v="Jawa Barat"/>
    <x v="1"/>
    <x v="1"/>
    <s v="Storage"/>
    <s v="PROD-7524"/>
    <x v="1"/>
    <n v="5"/>
    <n v="1026000"/>
    <n v="0.05"/>
    <n v="4873500"/>
    <n v="3599692.43"/>
    <n v="1273807.57"/>
    <s v="Credit Card"/>
    <x v="1"/>
    <n v="6"/>
    <n v="0.26137428336924184"/>
  </r>
  <r>
    <s v="ORD-00850"/>
    <d v="2024-08-28T00:00:00"/>
    <d v="2024-08-29T00:00:00"/>
    <s v="CUST-0059"/>
    <s v="Lina Mahendra"/>
    <s v="Small Business"/>
    <s v="Malang"/>
    <s v="Jawa Timur"/>
    <x v="2"/>
    <x v="2"/>
    <s v="Accessories"/>
    <s v="PROD-3744"/>
    <x v="4"/>
    <n v="1"/>
    <n v="124200"/>
    <n v="0"/>
    <n v="124200"/>
    <n v="77389.789999999994"/>
    <n v="46810.21"/>
    <s v="E-Wallet"/>
    <x v="28"/>
    <n v="1"/>
    <n v="0.37689380032206121"/>
  </r>
  <r>
    <s v="ORD-00851"/>
    <d v="2025-03-26T00:00:00"/>
    <d v="2025-04-01T00:00:00"/>
    <s v="CUST-0210"/>
    <s v="Bima Saputra"/>
    <s v="Corporate"/>
    <s v="Denpasar"/>
    <s v="Bali"/>
    <x v="2"/>
    <x v="2"/>
    <s v="Printer"/>
    <s v="PROD-5410"/>
    <x v="11"/>
    <n v="1"/>
    <n v="1390500"/>
    <n v="0"/>
    <n v="1390500"/>
    <n v="1061858.81"/>
    <n v="328641.19"/>
    <s v="Credit Card"/>
    <x v="20"/>
    <n v="6"/>
    <n v="0.23634749370729954"/>
  </r>
  <r>
    <s v="ORD-00852"/>
    <d v="2024-10-23T00:00:00"/>
    <d v="2024-10-26T00:00:00"/>
    <s v="CUST-0174"/>
    <s v="Wulan Nugroho"/>
    <s v="Corporate"/>
    <s v="Malang"/>
    <s v="Jawa Timur"/>
    <x v="2"/>
    <x v="0"/>
    <s v="Stationery"/>
    <s v="PROD-1004"/>
    <x v="10"/>
    <n v="2"/>
    <n v="29700"/>
    <n v="0"/>
    <n v="59400"/>
    <n v="30406"/>
    <n v="28994"/>
    <s v="Cash"/>
    <x v="21"/>
    <n v="3"/>
    <n v="0.48811447811447811"/>
  </r>
  <r>
    <s v="ORD-00853"/>
    <d v="2023-04-04T00:00:00"/>
    <d v="2023-04-07T00:00:00"/>
    <s v="CUST-0067"/>
    <s v="Vina Saputra"/>
    <s v="Small Business"/>
    <s v="Makassar"/>
    <s v="Sulawesi Selatan"/>
    <x v="2"/>
    <x v="1"/>
    <s v="Chair"/>
    <s v="PROD-0956"/>
    <x v="6"/>
    <n v="4"/>
    <n v="600800"/>
    <n v="0.25"/>
    <n v="1802400"/>
    <n v="1583263.05"/>
    <n v="219136.95"/>
    <s v="Credit Card"/>
    <x v="14"/>
    <n v="3"/>
    <n v="0.12158064247669774"/>
  </r>
  <r>
    <s v="ORD-00854"/>
    <d v="2023-02-10T00:00:00"/>
    <d v="2023-02-16T00:00:00"/>
    <s v="CUST-0108"/>
    <s v="Lina Saputra"/>
    <s v="Corporate"/>
    <s v="Bandung"/>
    <s v="Jawa Barat"/>
    <x v="1"/>
    <x v="2"/>
    <s v="Accessories"/>
    <s v="PROD-1626"/>
    <x v="20"/>
    <n v="6"/>
    <n v="245800"/>
    <n v="0.1"/>
    <n v="1327320"/>
    <n v="915975.66"/>
    <n v="411344.34"/>
    <s v="E-Wallet"/>
    <x v="31"/>
    <n v="6"/>
    <n v="0.30990593074767203"/>
  </r>
  <r>
    <s v="ORD-00855"/>
    <d v="2024-02-11T00:00:00"/>
    <d v="2024-02-13T00:00:00"/>
    <s v="CUST-0007"/>
    <s v="Bima Nugroho"/>
    <s v="Consumer"/>
    <s v="Semarang"/>
    <s v="Jawa Tengah"/>
    <x v="0"/>
    <x v="0"/>
    <s v="Stationery"/>
    <s v="PROD-1004"/>
    <x v="10"/>
    <n v="6"/>
    <n v="26300"/>
    <n v="0"/>
    <n v="157800"/>
    <n v="80827.27"/>
    <n v="76972.73"/>
    <s v="Credit Card"/>
    <x v="10"/>
    <n v="2"/>
    <n v="0.48778662864385297"/>
  </r>
  <r>
    <s v="ORD-00856"/>
    <d v="2023-02-11T00:00:00"/>
    <d v="2023-02-18T00:00:00"/>
    <s v="CUST-0127"/>
    <s v="Bima Lestari"/>
    <s v="Consumer"/>
    <s v="Medan"/>
    <s v="Sumatera Utara"/>
    <x v="1"/>
    <x v="0"/>
    <s v="Paper"/>
    <s v="PROD-9601"/>
    <x v="9"/>
    <n v="1"/>
    <n v="73100"/>
    <n v="0"/>
    <n v="73100"/>
    <n v="43759.07"/>
    <n v="29340.93"/>
    <s v="Cash"/>
    <x v="31"/>
    <n v="7"/>
    <n v="0.40138071135430919"/>
  </r>
  <r>
    <s v="ORD-00857"/>
    <d v="2023-09-11T00:00:00"/>
    <d v="2023-09-18T00:00:00"/>
    <s v="CUST-0213"/>
    <s v="Aldi Pratama"/>
    <s v="Corporate"/>
    <s v="Bogor"/>
    <s v="Jawa Barat"/>
    <x v="1"/>
    <x v="0"/>
    <s v="Stationery"/>
    <s v="PROD-1004"/>
    <x v="10"/>
    <n v="5"/>
    <n v="24800"/>
    <n v="0.05"/>
    <n v="117800"/>
    <n v="63278.720000000001"/>
    <n v="54521.279999999999"/>
    <s v="E-Wallet"/>
    <x v="33"/>
    <n v="7"/>
    <n v="0.46282920203735145"/>
  </r>
  <r>
    <s v="ORD-00858"/>
    <d v="2023-11-07T00:00:00"/>
    <d v="2023-11-08T00:00:00"/>
    <s v="CUST-0235"/>
    <s v="Gita Santoso"/>
    <s v="Small Business"/>
    <s v="Semarang"/>
    <s v="Jawa Tengah"/>
    <x v="0"/>
    <x v="0"/>
    <s v="Stationery"/>
    <s v="PROD-1004"/>
    <x v="10"/>
    <n v="4"/>
    <n v="26800"/>
    <n v="0.15"/>
    <n v="91120"/>
    <n v="51964.9"/>
    <n v="39155.1"/>
    <s v="E-Wallet"/>
    <x v="8"/>
    <n v="1"/>
    <n v="0.42970917471466197"/>
  </r>
  <r>
    <s v="ORD-00859"/>
    <d v="2024-06-25T00:00:00"/>
    <d v="2024-07-01T00:00:00"/>
    <s v="CUST-0260"/>
    <s v="Hadi Hidayat"/>
    <s v="Consumer"/>
    <s v="Yogyakarta"/>
    <s v="DI Yogyakarta"/>
    <x v="0"/>
    <x v="1"/>
    <s v="Desk"/>
    <s v="PROD-4040"/>
    <x v="7"/>
    <n v="8"/>
    <n v="3223800"/>
    <n v="0.05"/>
    <n v="24500880"/>
    <n v="19280840.73"/>
    <n v="5220039.2699999996"/>
    <s v="Credit Card"/>
    <x v="35"/>
    <n v="6"/>
    <n v="0.21305517475290681"/>
  </r>
  <r>
    <s v="ORD-00860"/>
    <d v="2023-02-05T00:00:00"/>
    <d v="2023-02-09T00:00:00"/>
    <s v="CUST-0190"/>
    <s v="Putri Anggraini"/>
    <s v="Corporate"/>
    <s v="Medan"/>
    <s v="Sumatera Utara"/>
    <x v="1"/>
    <x v="0"/>
    <s v="Binder"/>
    <s v="PROD-7352"/>
    <x v="16"/>
    <n v="1"/>
    <n v="62400"/>
    <n v="0.05"/>
    <n v="59280"/>
    <n v="32416.35"/>
    <n v="26863.65"/>
    <s v="Cash"/>
    <x v="31"/>
    <n v="4"/>
    <n v="0.45316548582995952"/>
  </r>
  <r>
    <s v="ORD-00861"/>
    <d v="2023-08-12T00:00:00"/>
    <d v="2023-08-18T00:00:00"/>
    <s v="CUST-0207"/>
    <s v="Vina Nugroho"/>
    <s v="Consumer"/>
    <s v="Bandung"/>
    <s v="Jawa Barat"/>
    <x v="1"/>
    <x v="2"/>
    <s v="Smartphone"/>
    <s v="PROD-2176"/>
    <x v="17"/>
    <n v="1"/>
    <n v="3543200"/>
    <n v="0.1"/>
    <n v="3188880"/>
    <n v="2587557.19"/>
    <n v="601322.81000000006"/>
    <s v="Credit Card"/>
    <x v="0"/>
    <n v="6"/>
    <n v="0.18856865419833924"/>
  </r>
  <r>
    <s v="ORD-00862"/>
    <d v="2025-08-27T00:00:00"/>
    <d v="2025-09-01T00:00:00"/>
    <s v="CUST-0209"/>
    <s v="Bayu Pratama"/>
    <s v="Corporate"/>
    <s v="Jakarta"/>
    <s v="DKI Jakarta"/>
    <x v="1"/>
    <x v="0"/>
    <s v="Writing"/>
    <s v="PROD-7529"/>
    <x v="0"/>
    <n v="2"/>
    <n v="72300"/>
    <n v="0.2"/>
    <n v="115680"/>
    <n v="74550.41"/>
    <n v="41129.589999999997"/>
    <s v="E-Wallet"/>
    <x v="12"/>
    <n v="5"/>
    <n v="0.35554624827109266"/>
  </r>
  <r>
    <s v="ORD-00863"/>
    <d v="2024-07-03T00:00:00"/>
    <d v="2024-07-09T00:00:00"/>
    <s v="CUST-0042"/>
    <s v="Rian Santoso"/>
    <s v="Consumer"/>
    <s v="Medan"/>
    <s v="Sumatera Utara"/>
    <x v="1"/>
    <x v="2"/>
    <s v="Printer"/>
    <s v="PROD-5410"/>
    <x v="11"/>
    <n v="2"/>
    <n v="1531100"/>
    <n v="0.05"/>
    <n v="2909090"/>
    <n v="2340653.5499999998"/>
    <n v="568436.44999999995"/>
    <s v="Credit Card"/>
    <x v="29"/>
    <n v="6"/>
    <n v="0.19540009075002834"/>
  </r>
  <r>
    <s v="ORD-00864"/>
    <d v="2025-05-21T00:00:00"/>
    <d v="2025-05-27T00:00:00"/>
    <s v="CUST-0218"/>
    <s v="Putri Wijaya"/>
    <s v="Consumer"/>
    <s v="Jakarta"/>
    <s v="DKI Jakarta"/>
    <x v="1"/>
    <x v="2"/>
    <s v="Smartphone"/>
    <s v="PROD-2176"/>
    <x v="17"/>
    <n v="1"/>
    <n v="3188100"/>
    <n v="0.3"/>
    <n v="2231670"/>
    <n v="2314112.1"/>
    <n v="-82442.100000000006"/>
    <s v="Bank Transfer"/>
    <x v="6"/>
    <n v="6"/>
    <n v="-3.6941886569250834E-2"/>
  </r>
  <r>
    <s v="ORD-00865"/>
    <d v="2025-12-10T00:00:00"/>
    <d v="2025-12-14T00:00:00"/>
    <s v="CUST-0166"/>
    <s v="Vina Siregar"/>
    <s v="Consumer"/>
    <s v="Malang"/>
    <s v="Jawa Timur"/>
    <x v="2"/>
    <x v="2"/>
    <s v="Accessories"/>
    <s v="PROD-1626"/>
    <x v="20"/>
    <n v="2"/>
    <n v="221900"/>
    <n v="0.25"/>
    <n v="332850"/>
    <n v="276390.33"/>
    <n v="56459.67"/>
    <s v="Bank Transfer"/>
    <x v="25"/>
    <n v="4"/>
    <n v="0.16962496620099143"/>
  </r>
  <r>
    <s v="ORD-00866"/>
    <d v="2025-01-31T00:00:00"/>
    <d v="2025-02-05T00:00:00"/>
    <s v="CUST-0242"/>
    <s v="Oki Putra"/>
    <s v="Corporate"/>
    <s v="Yogyakarta"/>
    <s v="DI Yogyakarta"/>
    <x v="0"/>
    <x v="0"/>
    <s v="Writing"/>
    <s v="PROD-7527"/>
    <x v="5"/>
    <n v="4"/>
    <n v="49900"/>
    <n v="0.05"/>
    <n v="189620"/>
    <n v="106759.13"/>
    <n v="82860.87"/>
    <s v="Credit Card"/>
    <x v="17"/>
    <n v="5"/>
    <n v="0.43698380972471257"/>
  </r>
  <r>
    <s v="ORD-00867"/>
    <d v="2024-11-07T00:00:00"/>
    <d v="2024-11-13T00:00:00"/>
    <s v="CUST-0003"/>
    <s v="Joko Mahendra"/>
    <s v="Corporate"/>
    <s v="Bogor"/>
    <s v="Jawa Barat"/>
    <x v="1"/>
    <x v="0"/>
    <s v="Writing"/>
    <s v="PROD-7527"/>
    <x v="5"/>
    <n v="1"/>
    <n v="44600"/>
    <n v="0"/>
    <n v="44600"/>
    <n v="22234.55"/>
    <n v="22365.45"/>
    <s v="Cash"/>
    <x v="2"/>
    <n v="6"/>
    <n v="0.50146748878923764"/>
  </r>
  <r>
    <s v="ORD-00868"/>
    <d v="2024-01-20T00:00:00"/>
    <d v="2024-01-22T00:00:00"/>
    <s v="CUST-0177"/>
    <s v="Wulan Pratama"/>
    <s v="Consumer"/>
    <s v="Surabaya"/>
    <s v="Jawa Timur"/>
    <x v="2"/>
    <x v="0"/>
    <s v="Stationery"/>
    <s v="PROD-5388"/>
    <x v="18"/>
    <n v="3"/>
    <n v="105200"/>
    <n v="0.1"/>
    <n v="284040"/>
    <n v="191555.23"/>
    <n v="92484.77"/>
    <s v="Cash"/>
    <x v="26"/>
    <n v="2"/>
    <n v="0.32560473876918744"/>
  </r>
  <r>
    <s v="ORD-00869"/>
    <d v="2024-01-30T00:00:00"/>
    <d v="2024-02-02T00:00:00"/>
    <s v="CUST-0104"/>
    <s v="Citra Anggraini"/>
    <s v="Corporate"/>
    <s v="Makassar"/>
    <s v="Sulawesi Selatan"/>
    <x v="2"/>
    <x v="2"/>
    <s v="Accessories"/>
    <s v="PROD-1626"/>
    <x v="20"/>
    <n v="3"/>
    <n v="227400"/>
    <n v="0"/>
    <n v="682200"/>
    <n v="417642.38"/>
    <n v="264557.62"/>
    <s v="E-Wallet"/>
    <x v="26"/>
    <n v="3"/>
    <n v="0.38780067428906478"/>
  </r>
  <r>
    <s v="ORD-00870"/>
    <d v="2023-11-09T00:00:00"/>
    <d v="2023-11-10T00:00:00"/>
    <s v="CUST-0142"/>
    <s v="Rizky Mahendra"/>
    <s v="Consumer"/>
    <s v="Bogor"/>
    <s v="Jawa Barat"/>
    <x v="1"/>
    <x v="0"/>
    <s v="Binder"/>
    <s v="PROD-9396"/>
    <x v="21"/>
    <n v="1"/>
    <n v="38600"/>
    <n v="0.1"/>
    <n v="34740"/>
    <n v="19295.810000000001"/>
    <n v="15444.19"/>
    <s v="Bank Transfer"/>
    <x v="8"/>
    <n v="1"/>
    <n v="0.4445650546919977"/>
  </r>
  <r>
    <s v="ORD-00871"/>
    <d v="2025-08-27T00:00:00"/>
    <d v="2025-08-29T00:00:00"/>
    <s v="CUST-0027"/>
    <s v="Eka Saputra"/>
    <s v="Consumer"/>
    <s v="Semarang"/>
    <s v="Jawa Tengah"/>
    <x v="0"/>
    <x v="2"/>
    <s v="Smartphone"/>
    <s v="PROD-6076"/>
    <x v="15"/>
    <n v="1"/>
    <n v="4721600"/>
    <n v="0"/>
    <n v="4721600"/>
    <n v="3399949.91"/>
    <n v="1321650.0900000001"/>
    <s v="Credit Card"/>
    <x v="12"/>
    <n v="2"/>
    <n v="0.27991572560149103"/>
  </r>
  <r>
    <s v="ORD-00872"/>
    <d v="2025-06-19T00:00:00"/>
    <d v="2025-06-23T00:00:00"/>
    <s v="CUST-0182"/>
    <s v="Joko Nugroho"/>
    <s v="Consumer"/>
    <s v="Yogyakarta"/>
    <s v="DI Yogyakarta"/>
    <x v="0"/>
    <x v="0"/>
    <s v="Binder"/>
    <s v="PROD-7352"/>
    <x v="16"/>
    <n v="1"/>
    <n v="55200"/>
    <n v="0.15"/>
    <n v="46920"/>
    <n v="30479.25"/>
    <n v="16440.75"/>
    <s v="Bank Transfer"/>
    <x v="7"/>
    <n v="4"/>
    <n v="0.35039961636828643"/>
  </r>
  <r>
    <s v="ORD-00873"/>
    <d v="2025-12-05T00:00:00"/>
    <d v="2025-12-08T00:00:00"/>
    <s v="CUST-0129"/>
    <s v="Yoga Santoso"/>
    <s v="Small Business"/>
    <s v="Semarang"/>
    <s v="Jawa Tengah"/>
    <x v="0"/>
    <x v="1"/>
    <s v="Storage"/>
    <s v="PROD-7524"/>
    <x v="1"/>
    <n v="4"/>
    <n v="1063100"/>
    <n v="0.1"/>
    <n v="3827160"/>
    <n v="2931282.51"/>
    <n v="895877.49"/>
    <s v="E-Wallet"/>
    <x v="25"/>
    <n v="3"/>
    <n v="0.23408414855924498"/>
  </r>
  <r>
    <s v="ORD-00874"/>
    <d v="2025-06-10T00:00:00"/>
    <d v="2025-06-16T00:00:00"/>
    <s v="CUST-0098"/>
    <s v="Maya Permata"/>
    <s v="Small Business"/>
    <s v="Surabaya"/>
    <s v="Jawa Timur"/>
    <x v="2"/>
    <x v="1"/>
    <s v="Chair"/>
    <s v="PROD-9951"/>
    <x v="19"/>
    <n v="4"/>
    <n v="1657300"/>
    <n v="0.1"/>
    <n v="5966280"/>
    <n v="4724099.37"/>
    <n v="1242180.6299999999"/>
    <s v="E-Wallet"/>
    <x v="7"/>
    <n v="6"/>
    <n v="0.20820019006818316"/>
  </r>
  <r>
    <s v="ORD-00875"/>
    <d v="2024-01-02T00:00:00"/>
    <d v="2024-01-08T00:00:00"/>
    <s v="CUST-0130"/>
    <s v="Raka Siregar"/>
    <s v="Consumer"/>
    <s v="Denpasar"/>
    <s v="Bali"/>
    <x v="2"/>
    <x v="0"/>
    <s v="Writing"/>
    <s v="PROD-7529"/>
    <x v="0"/>
    <n v="1"/>
    <n v="65800"/>
    <n v="0"/>
    <n v="65800"/>
    <n v="35459.26"/>
    <n v="30340.74"/>
    <s v="Credit Card"/>
    <x v="26"/>
    <n v="6"/>
    <n v="0.46110547112462008"/>
  </r>
  <r>
    <s v="ORD-00876"/>
    <d v="2023-01-27T00:00:00"/>
    <d v="2023-02-01T00:00:00"/>
    <s v="CUST-0242"/>
    <s v="Vina Ramadhan"/>
    <s v="Consumer"/>
    <s v="Denpasar"/>
    <s v="Bali"/>
    <x v="2"/>
    <x v="2"/>
    <s v="Accessories"/>
    <s v="PROD-3744"/>
    <x v="4"/>
    <n v="1"/>
    <n v="114100"/>
    <n v="0.1"/>
    <n v="102690"/>
    <n v="63130.86"/>
    <n v="39559.14"/>
    <s v="E-Wallet"/>
    <x v="11"/>
    <n v="5"/>
    <n v="0.38522874671340929"/>
  </r>
  <r>
    <s v="ORD-00877"/>
    <d v="2025-07-19T00:00:00"/>
    <d v="2025-07-23T00:00:00"/>
    <s v="CUST-0062"/>
    <s v="Bima Kusuma"/>
    <s v="Consumer"/>
    <s v="Jakarta"/>
    <s v="DKI Jakarta"/>
    <x v="1"/>
    <x v="2"/>
    <s v="Laptop"/>
    <s v="PROD-8448"/>
    <x v="12"/>
    <n v="3"/>
    <n v="5727400"/>
    <n v="0.2"/>
    <n v="13745760"/>
    <n v="13206475.359999999"/>
    <n v="539284.64"/>
    <s v="Credit Card"/>
    <x v="19"/>
    <n v="4"/>
    <n v="3.9232799059491799E-2"/>
  </r>
  <r>
    <s v="ORD-00878"/>
    <d v="2023-05-08T00:00:00"/>
    <d v="2023-05-11T00:00:00"/>
    <s v="CUST-0087"/>
    <s v="Dinda Anggraini"/>
    <s v="Corporate"/>
    <s v="Semarang"/>
    <s v="Jawa Tengah"/>
    <x v="0"/>
    <x v="2"/>
    <s v="Accessories"/>
    <s v="PROD-3744"/>
    <x v="4"/>
    <n v="2"/>
    <n v="131000"/>
    <n v="0.2"/>
    <n v="209600"/>
    <n v="162096.6"/>
    <n v="47503.4"/>
    <s v="Bank Transfer"/>
    <x v="22"/>
    <n v="3"/>
    <n v="0.22663835877862595"/>
  </r>
  <r>
    <s v="ORD-00879"/>
    <d v="2025-01-20T00:00:00"/>
    <d v="2025-01-25T00:00:00"/>
    <s v="CUST-0043"/>
    <s v="Fajar Kusuma"/>
    <s v="Small Business"/>
    <s v="Malang"/>
    <s v="Jawa Timur"/>
    <x v="2"/>
    <x v="2"/>
    <s v="Accessories"/>
    <s v="PROD-1626"/>
    <x v="20"/>
    <n v="1"/>
    <n v="248700"/>
    <n v="0.05"/>
    <n v="236265"/>
    <n v="155899.75"/>
    <n v="80365.25"/>
    <s v="Bank Transfer"/>
    <x v="17"/>
    <n v="5"/>
    <n v="0.34014877362283874"/>
  </r>
  <r>
    <s v="ORD-00880"/>
    <d v="2023-04-02T00:00:00"/>
    <d v="2023-04-05T00:00:00"/>
    <s v="CUST-0045"/>
    <s v="Toni Siregar"/>
    <s v="Consumer"/>
    <s v="Medan"/>
    <s v="Sumatera Utara"/>
    <x v="1"/>
    <x v="1"/>
    <s v="Storage"/>
    <s v="PROD-2602"/>
    <x v="3"/>
    <n v="2"/>
    <n v="890300"/>
    <n v="0"/>
    <n v="1780600"/>
    <n v="1169673.1399999999"/>
    <n v="610926.86"/>
    <s v="Bank Transfer"/>
    <x v="14"/>
    <n v="3"/>
    <n v="0.34310168482533976"/>
  </r>
  <r>
    <s v="ORD-00881"/>
    <d v="2025-08-06T00:00:00"/>
    <d v="2025-08-07T00:00:00"/>
    <s v="CUST-0006"/>
    <s v="Gita Ramadhan"/>
    <s v="Corporate"/>
    <s v="Bogor"/>
    <s v="Jawa Barat"/>
    <x v="1"/>
    <x v="2"/>
    <s v="Laptop"/>
    <s v="PROD-8448"/>
    <x v="12"/>
    <n v="2"/>
    <n v="6330900"/>
    <n v="0"/>
    <n v="12661800"/>
    <n v="9845954.0399999991"/>
    <n v="2815845.96"/>
    <s v="Credit Card"/>
    <x v="12"/>
    <n v="1"/>
    <n v="0.22238907264369995"/>
  </r>
  <r>
    <s v="ORD-00882"/>
    <d v="2025-02-06T00:00:00"/>
    <d v="2025-02-10T00:00:00"/>
    <s v="CUST-0147"/>
    <s v="Fajar Lestari"/>
    <s v="Small Business"/>
    <s v="Yogyakarta"/>
    <s v="DI Yogyakarta"/>
    <x v="0"/>
    <x v="2"/>
    <s v="Smartphone"/>
    <s v="PROD-6076"/>
    <x v="15"/>
    <n v="4"/>
    <n v="4993200"/>
    <n v="0"/>
    <n v="19972800"/>
    <n v="14969269.460000001"/>
    <n v="5003530.54"/>
    <s v="Credit Card"/>
    <x v="3"/>
    <n v="4"/>
    <n v="0.25051723043338942"/>
  </r>
  <r>
    <s v="ORD-00883"/>
    <d v="2023-10-15T00:00:00"/>
    <d v="2023-10-20T00:00:00"/>
    <s v="CUST-0251"/>
    <s v="Lina Anggraini"/>
    <s v="Consumer"/>
    <s v="Semarang"/>
    <s v="Jawa Tengah"/>
    <x v="0"/>
    <x v="2"/>
    <s v="Smartphone"/>
    <s v="PROD-6076"/>
    <x v="15"/>
    <n v="1"/>
    <n v="4535000"/>
    <n v="0.1"/>
    <n v="4081500"/>
    <n v="3348159.44"/>
    <n v="733340.56"/>
    <s v="Credit Card"/>
    <x v="30"/>
    <n v="5"/>
    <n v="0.17967427661398996"/>
  </r>
  <r>
    <s v="ORD-00884"/>
    <d v="2025-01-14T00:00:00"/>
    <d v="2025-01-17T00:00:00"/>
    <s v="CUST-0148"/>
    <s v="Gita Permata"/>
    <s v="Consumer"/>
    <s v="Bogor"/>
    <s v="Jawa Barat"/>
    <x v="1"/>
    <x v="0"/>
    <s v="Stationery"/>
    <s v="PROD-5388"/>
    <x v="18"/>
    <n v="1"/>
    <n v="117900"/>
    <n v="0.3"/>
    <n v="82530"/>
    <n v="67633.16"/>
    <n v="14896.84"/>
    <s v="Cash"/>
    <x v="17"/>
    <n v="3"/>
    <n v="0.18050212044105174"/>
  </r>
  <r>
    <s v="ORD-00885"/>
    <d v="2025-10-28T00:00:00"/>
    <d v="2025-11-02T00:00:00"/>
    <s v="CUST-0096"/>
    <s v="Putri Wijaya"/>
    <s v="Consumer"/>
    <s v="Bandung"/>
    <s v="Jawa Barat"/>
    <x v="1"/>
    <x v="0"/>
    <s v="Binder"/>
    <s v="PROD-9396"/>
    <x v="21"/>
    <n v="1"/>
    <n v="38100"/>
    <n v="0"/>
    <n v="38100"/>
    <n v="18383.04"/>
    <n v="19716.96"/>
    <s v="Credit Card"/>
    <x v="27"/>
    <n v="5"/>
    <n v="0.51750551181102356"/>
  </r>
  <r>
    <s v="ORD-00886"/>
    <d v="2025-08-14T00:00:00"/>
    <d v="2025-08-19T00:00:00"/>
    <s v="CUST-0216"/>
    <s v="Putri Permata"/>
    <s v="Small Business"/>
    <s v="Makassar"/>
    <s v="Sulawesi Selatan"/>
    <x v="2"/>
    <x v="2"/>
    <s v="Accessories"/>
    <s v="PROD-1626"/>
    <x v="20"/>
    <n v="3"/>
    <n v="238900"/>
    <n v="0.2"/>
    <n v="573360"/>
    <n v="408960.54"/>
    <n v="164399.46"/>
    <s v="E-Wallet"/>
    <x v="12"/>
    <n v="5"/>
    <n v="0.28672990791125991"/>
  </r>
  <r>
    <s v="ORD-00887"/>
    <d v="2024-11-20T00:00:00"/>
    <d v="2024-11-26T00:00:00"/>
    <s v="CUST-0223"/>
    <s v="Farhan Hidayat"/>
    <s v="Consumer"/>
    <s v="Surabaya"/>
    <s v="Jawa Timur"/>
    <x v="2"/>
    <x v="0"/>
    <s v="Writing"/>
    <s v="PROD-7527"/>
    <x v="5"/>
    <n v="2"/>
    <n v="47900"/>
    <n v="0.05"/>
    <n v="91010"/>
    <n v="51318.43"/>
    <n v="39691.57"/>
    <s v="Cash"/>
    <x v="2"/>
    <n v="6"/>
    <n v="0.43612317327766181"/>
  </r>
  <r>
    <s v="ORD-00888"/>
    <d v="2025-08-27T00:00:00"/>
    <d v="2025-09-03T00:00:00"/>
    <s v="CUST-0260"/>
    <s v="Dewi Hidayat"/>
    <s v="Consumer"/>
    <s v="Makassar"/>
    <s v="Sulawesi Selatan"/>
    <x v="2"/>
    <x v="2"/>
    <s v="Accessories"/>
    <s v="PROD-4943"/>
    <x v="2"/>
    <n v="2"/>
    <n v="540100"/>
    <n v="0.2"/>
    <n v="864160"/>
    <n v="702682.78"/>
    <n v="161477.22"/>
    <s v="Cash"/>
    <x v="12"/>
    <n v="7"/>
    <n v="0.18686032679133494"/>
  </r>
  <r>
    <s v="ORD-00889"/>
    <d v="2025-05-22T00:00:00"/>
    <d v="2025-05-29T00:00:00"/>
    <s v="CUST-0102"/>
    <s v="Toni Utami"/>
    <s v="Consumer"/>
    <s v="Makassar"/>
    <s v="Sulawesi Selatan"/>
    <x v="2"/>
    <x v="2"/>
    <s v="Accessories"/>
    <s v="PROD-1626"/>
    <x v="20"/>
    <n v="6"/>
    <n v="251900"/>
    <n v="0.25"/>
    <n v="1133550"/>
    <n v="972649.4"/>
    <n v="160900.6"/>
    <s v="Credit Card"/>
    <x v="6"/>
    <n v="7"/>
    <n v="0.14194398129769309"/>
  </r>
  <r>
    <s v="ORD-00890"/>
    <d v="2023-10-13T00:00:00"/>
    <d v="2023-10-15T00:00:00"/>
    <s v="CUST-0076"/>
    <s v="Gita Siregar"/>
    <s v="Consumer"/>
    <s v="Bandung"/>
    <s v="Jawa Barat"/>
    <x v="1"/>
    <x v="0"/>
    <s v="Paper"/>
    <s v="PROD-7955"/>
    <x v="8"/>
    <n v="4"/>
    <n v="58100"/>
    <n v="0"/>
    <n v="232400"/>
    <n v="121443.01"/>
    <n v="110956.99"/>
    <s v="Credit Card"/>
    <x v="30"/>
    <n v="2"/>
    <n v="0.47743971600688473"/>
  </r>
  <r>
    <s v="ORD-00891"/>
    <d v="2023-12-19T00:00:00"/>
    <d v="2023-12-22T00:00:00"/>
    <s v="CUST-0192"/>
    <s v="Aldi Kusuma"/>
    <s v="Small Business"/>
    <s v="Semarang"/>
    <s v="Jawa Tengah"/>
    <x v="0"/>
    <x v="2"/>
    <s v="Smartphone"/>
    <s v="PROD-2176"/>
    <x v="17"/>
    <n v="1"/>
    <n v="3052300"/>
    <n v="0.1"/>
    <n v="2747070"/>
    <n v="2458786.48"/>
    <n v="288283.52000000002"/>
    <s v="Cash"/>
    <x v="4"/>
    <n v="3"/>
    <n v="0.10494218203394891"/>
  </r>
  <r>
    <s v="ORD-00892"/>
    <d v="2023-11-23T00:00:00"/>
    <d v="2023-11-26T00:00:00"/>
    <s v="CUST-0066"/>
    <s v="Kartika Utami"/>
    <s v="Small Business"/>
    <s v="Semarang"/>
    <s v="Jawa Tengah"/>
    <x v="0"/>
    <x v="2"/>
    <s v="Accessories"/>
    <s v="PROD-1626"/>
    <x v="20"/>
    <n v="5"/>
    <n v="242700"/>
    <n v="0.15"/>
    <n v="1031475"/>
    <n v="700765.11"/>
    <n v="330709.89"/>
    <s v="Cash"/>
    <x v="8"/>
    <n v="3"/>
    <n v="0.32061842507089366"/>
  </r>
  <r>
    <s v="ORD-00893"/>
    <d v="2023-10-01T00:00:00"/>
    <d v="2023-10-05T00:00:00"/>
    <s v="CUST-0092"/>
    <s v="Nabila Putra"/>
    <s v="Corporate"/>
    <s v="Malang"/>
    <s v="Jawa Timur"/>
    <x v="2"/>
    <x v="0"/>
    <s v="Binder"/>
    <s v="PROD-9396"/>
    <x v="21"/>
    <n v="2"/>
    <n v="39800"/>
    <n v="0.3"/>
    <n v="55720"/>
    <n v="37949.160000000003"/>
    <n v="17770.84"/>
    <s v="Bank Transfer"/>
    <x v="30"/>
    <n v="4"/>
    <n v="0.31893108399138548"/>
  </r>
  <r>
    <s v="ORD-00894"/>
    <d v="2025-01-25T00:00:00"/>
    <d v="2025-01-28T00:00:00"/>
    <s v="CUST-0109"/>
    <s v="Joko Hidayat"/>
    <s v="Corporate"/>
    <s v="Makassar"/>
    <s v="Sulawesi Selatan"/>
    <x v="2"/>
    <x v="2"/>
    <s v="Laptop"/>
    <s v="PROD-7745"/>
    <x v="14"/>
    <n v="6"/>
    <n v="8544600"/>
    <n v="0"/>
    <n v="51267600"/>
    <n v="38966463.009999998"/>
    <n v="12301136.99"/>
    <s v="Cash"/>
    <x v="17"/>
    <n v="3"/>
    <n v="0.23993978633678972"/>
  </r>
  <r>
    <s v="ORD-00895"/>
    <d v="2023-07-10T00:00:00"/>
    <d v="2023-07-13T00:00:00"/>
    <s v="CUST-0216"/>
    <s v="Fajar Wijaya"/>
    <s v="Consumer"/>
    <s v="Malang"/>
    <s v="Jawa Timur"/>
    <x v="2"/>
    <x v="1"/>
    <s v="Chair"/>
    <s v="PROD-0956"/>
    <x v="6"/>
    <n v="2"/>
    <n v="702400"/>
    <n v="0"/>
    <n v="1404800"/>
    <n v="966148.76"/>
    <n v="438651.24"/>
    <s v="E-Wallet"/>
    <x v="13"/>
    <n v="3"/>
    <n v="0.3122517369020501"/>
  </r>
  <r>
    <s v="ORD-00896"/>
    <d v="2025-03-26T00:00:00"/>
    <d v="2025-04-01T00:00:00"/>
    <s v="CUST-0007"/>
    <s v="Fajar Permata"/>
    <s v="Corporate"/>
    <s v="Denpasar"/>
    <s v="Bali"/>
    <x v="2"/>
    <x v="1"/>
    <s v="Chair"/>
    <s v="PROD-9951"/>
    <x v="19"/>
    <n v="3"/>
    <n v="1614000"/>
    <n v="0.2"/>
    <n v="3873600"/>
    <n v="3369763.81"/>
    <n v="503836.19"/>
    <s v="E-Wallet"/>
    <x v="20"/>
    <n v="6"/>
    <n v="0.13006923533663775"/>
  </r>
  <r>
    <s v="ORD-00897"/>
    <d v="2023-09-21T00:00:00"/>
    <d v="2023-09-26T00:00:00"/>
    <s v="CUST-0060"/>
    <s v="Vina Utami"/>
    <s v="Consumer"/>
    <s v="Denpasar"/>
    <s v="Bali"/>
    <x v="2"/>
    <x v="1"/>
    <s v="Storage"/>
    <s v="PROD-2602"/>
    <x v="3"/>
    <n v="2"/>
    <n v="793400"/>
    <n v="0.05"/>
    <n v="1507460"/>
    <n v="1079348.49"/>
    <n v="428111.51"/>
    <s v="Cash"/>
    <x v="33"/>
    <n v="5"/>
    <n v="0.28399527018959042"/>
  </r>
  <r>
    <s v="ORD-00898"/>
    <d v="2025-07-11T00:00:00"/>
    <d v="2025-07-16T00:00:00"/>
    <s v="CUST-0041"/>
    <s v="Eka Pratama"/>
    <s v="Small Business"/>
    <s v="Surabaya"/>
    <s v="Jawa Timur"/>
    <x v="2"/>
    <x v="1"/>
    <s v="Desk"/>
    <s v="PROD-4040"/>
    <x v="7"/>
    <n v="1"/>
    <n v="2958900"/>
    <n v="0.05"/>
    <n v="2810955"/>
    <n v="2172201.2200000002"/>
    <n v="638753.78"/>
    <s v="E-Wallet"/>
    <x v="19"/>
    <n v="5"/>
    <n v="0.22723728412585759"/>
  </r>
  <r>
    <s v="ORD-00899"/>
    <d v="2024-11-21T00:00:00"/>
    <d v="2024-11-27T00:00:00"/>
    <s v="CUST-0236"/>
    <s v="Lina Pratama"/>
    <s v="Corporate"/>
    <s v="Medan"/>
    <s v="Sumatera Utara"/>
    <x v="1"/>
    <x v="1"/>
    <s v="Chair"/>
    <s v="PROD-0956"/>
    <x v="6"/>
    <n v="2"/>
    <n v="651500"/>
    <n v="0"/>
    <n v="1303000"/>
    <n v="886312.34"/>
    <n v="416687.66"/>
    <s v="Cash"/>
    <x v="2"/>
    <n v="6"/>
    <n v="0.31979099002302375"/>
  </r>
  <r>
    <s v="ORD-00900"/>
    <d v="2025-01-26T00:00:00"/>
    <d v="2025-01-29T00:00:00"/>
    <s v="CUST-0167"/>
    <s v="Joko Ramadhan"/>
    <s v="Corporate"/>
    <s v="Yogyakarta"/>
    <s v="DI Yogyakarta"/>
    <x v="0"/>
    <x v="1"/>
    <s v="Storage"/>
    <s v="PROD-2602"/>
    <x v="3"/>
    <n v="2"/>
    <n v="817200"/>
    <n v="0.05"/>
    <n v="1552680"/>
    <n v="1011661.49"/>
    <n v="541018.51"/>
    <s v="Bank Transfer"/>
    <x v="17"/>
    <n v="3"/>
    <n v="0.34844173300358089"/>
  </r>
  <r>
    <s v="ORD-00901"/>
    <d v="2023-03-14T00:00:00"/>
    <d v="2023-03-19T00:00:00"/>
    <s v="CUST-0253"/>
    <s v="Nadia Siregar"/>
    <s v="Corporate"/>
    <s v="Medan"/>
    <s v="Sumatera Utara"/>
    <x v="1"/>
    <x v="2"/>
    <s v="Laptop"/>
    <s v="PROD-7745"/>
    <x v="14"/>
    <n v="1"/>
    <n v="8345100"/>
    <n v="0"/>
    <n v="8345100"/>
    <n v="6306116.1299999999"/>
    <n v="2038983.87"/>
    <s v="Credit Card"/>
    <x v="24"/>
    <n v="5"/>
    <n v="0.24433306611065178"/>
  </r>
  <r>
    <s v="ORD-00902"/>
    <d v="2024-07-16T00:00:00"/>
    <d v="2024-07-19T00:00:00"/>
    <s v="CUST-0052"/>
    <s v="Maya Saputra"/>
    <s v="Corporate"/>
    <s v="Medan"/>
    <s v="Sumatera Utara"/>
    <x v="1"/>
    <x v="0"/>
    <s v="Writing"/>
    <s v="PROD-7529"/>
    <x v="0"/>
    <n v="1"/>
    <n v="66800"/>
    <n v="0"/>
    <n v="66800"/>
    <n v="38849.17"/>
    <n v="27950.83"/>
    <s v="Bank Transfer"/>
    <x v="29"/>
    <n v="3"/>
    <n v="0.41842559880239522"/>
  </r>
  <r>
    <s v="ORD-00903"/>
    <d v="2023-06-11T00:00:00"/>
    <d v="2023-06-14T00:00:00"/>
    <s v="CUST-0222"/>
    <s v="Dewi Utami"/>
    <s v="Consumer"/>
    <s v="Malang"/>
    <s v="Jawa Timur"/>
    <x v="2"/>
    <x v="0"/>
    <s v="Binder"/>
    <s v="PROD-9396"/>
    <x v="21"/>
    <n v="8"/>
    <n v="36300"/>
    <n v="0.1"/>
    <n v="261360"/>
    <n v="154606.1"/>
    <n v="106753.9"/>
    <s v="Credit Card"/>
    <x v="9"/>
    <n v="3"/>
    <n v="0.40845538720538721"/>
  </r>
  <r>
    <s v="ORD-00904"/>
    <d v="2024-01-28T00:00:00"/>
    <d v="2024-02-02T00:00:00"/>
    <s v="CUST-0224"/>
    <s v="Indra Mahendra"/>
    <s v="Consumer"/>
    <s v="Makassar"/>
    <s v="Sulawesi Selatan"/>
    <x v="2"/>
    <x v="2"/>
    <s v="Accessories"/>
    <s v="PROD-3744"/>
    <x v="4"/>
    <n v="3"/>
    <n v="113800"/>
    <n v="0.1"/>
    <n v="307260"/>
    <n v="193651.22"/>
    <n v="113608.78"/>
    <s v="Credit Card"/>
    <x v="26"/>
    <n v="5"/>
    <n v="0.36974803098353187"/>
  </r>
  <r>
    <s v="ORD-00905"/>
    <d v="2024-01-16T00:00:00"/>
    <d v="2024-01-19T00:00:00"/>
    <s v="CUST-0213"/>
    <s v="Yoga Wijaya"/>
    <s v="Consumer"/>
    <s v="Makassar"/>
    <s v="Sulawesi Selatan"/>
    <x v="2"/>
    <x v="1"/>
    <s v="Chair"/>
    <s v="PROD-9951"/>
    <x v="19"/>
    <n v="3"/>
    <n v="1680000"/>
    <n v="0.05"/>
    <n v="4788000"/>
    <n v="3168174.67"/>
    <n v="1619825.33"/>
    <s v="Credit Card"/>
    <x v="26"/>
    <n v="3"/>
    <n v="0.33830938387635756"/>
  </r>
  <r>
    <s v="ORD-00906"/>
    <d v="2024-07-16T00:00:00"/>
    <d v="2024-07-19T00:00:00"/>
    <s v="CUST-0236"/>
    <s v="Toni Hidayat"/>
    <s v="Consumer"/>
    <s v="Surabaya"/>
    <s v="Jawa Timur"/>
    <x v="2"/>
    <x v="1"/>
    <s v="Storage"/>
    <s v="PROD-2602"/>
    <x v="3"/>
    <n v="1"/>
    <n v="845100"/>
    <n v="0"/>
    <n v="845100"/>
    <n v="542403.56000000006"/>
    <n v="302696.44"/>
    <s v="Credit Card"/>
    <x v="29"/>
    <n v="3"/>
    <n v="0.35817825109454504"/>
  </r>
  <r>
    <s v="ORD-00907"/>
    <d v="2024-11-04T00:00:00"/>
    <d v="2024-11-09T00:00:00"/>
    <s v="CUST-0108"/>
    <s v="Sari Mahendra"/>
    <s v="Consumer"/>
    <s v="Jakarta"/>
    <s v="DKI Jakarta"/>
    <x v="1"/>
    <x v="1"/>
    <s v="Storage"/>
    <s v="PROD-7524"/>
    <x v="1"/>
    <n v="2"/>
    <n v="977800"/>
    <n v="0.05"/>
    <n v="1857820"/>
    <n v="1391689.62"/>
    <n v="466130.38"/>
    <s v="E-Wallet"/>
    <x v="2"/>
    <n v="5"/>
    <n v="0.25090179888256131"/>
  </r>
  <r>
    <s v="ORD-00908"/>
    <d v="2023-12-15T00:00:00"/>
    <d v="2023-12-21T00:00:00"/>
    <s v="CUST-0190"/>
    <s v="Joko Lestari"/>
    <s v="Corporate"/>
    <s v="Jakarta"/>
    <s v="DKI Jakarta"/>
    <x v="1"/>
    <x v="1"/>
    <s v="Desk"/>
    <s v="PROD-4040"/>
    <x v="7"/>
    <n v="3"/>
    <n v="3224000"/>
    <n v="0.05"/>
    <n v="9188400"/>
    <n v="6614556.6100000003"/>
    <n v="2573843.39"/>
    <s v="Bank Transfer"/>
    <x v="4"/>
    <n v="6"/>
    <n v="0.28011877911279442"/>
  </r>
  <r>
    <s v="ORD-00909"/>
    <d v="2024-10-07T00:00:00"/>
    <d v="2024-10-11T00:00:00"/>
    <s v="CUST-0146"/>
    <s v="Sari Mahendra"/>
    <s v="Corporate"/>
    <s v="Bogor"/>
    <s v="Jawa Barat"/>
    <x v="1"/>
    <x v="0"/>
    <s v="Paper"/>
    <s v="PROD-7955"/>
    <x v="8"/>
    <n v="3"/>
    <n v="59400"/>
    <n v="0.05"/>
    <n v="169290"/>
    <n v="102855.83"/>
    <n v="66434.17"/>
    <s v="Credit Card"/>
    <x v="21"/>
    <n v="4"/>
    <n v="0.3924282001299545"/>
  </r>
  <r>
    <s v="ORD-00910"/>
    <d v="2025-10-02T00:00:00"/>
    <d v="2025-10-04T00:00:00"/>
    <s v="CUST-0092"/>
    <s v="Bayu Wijaya"/>
    <s v="Consumer"/>
    <s v="Bogor"/>
    <s v="Jawa Barat"/>
    <x v="1"/>
    <x v="1"/>
    <s v="Storage"/>
    <s v="PROD-7524"/>
    <x v="1"/>
    <n v="1"/>
    <n v="929100"/>
    <n v="0.3"/>
    <n v="650370"/>
    <n v="647075.28"/>
    <n v="3294.72"/>
    <s v="Bank Transfer"/>
    <x v="27"/>
    <n v="2"/>
    <n v="5.0659163245537157E-3"/>
  </r>
  <r>
    <s v="ORD-00911"/>
    <d v="2025-04-01T00:00:00"/>
    <d v="2025-04-06T00:00:00"/>
    <s v="CUST-0163"/>
    <s v="Raka Saputra"/>
    <s v="Small Business"/>
    <s v="Malang"/>
    <s v="Jawa Timur"/>
    <x v="2"/>
    <x v="1"/>
    <s v="Chair"/>
    <s v="PROD-0956"/>
    <x v="6"/>
    <n v="2"/>
    <n v="636900"/>
    <n v="0"/>
    <n v="1273800"/>
    <n v="868237.18"/>
    <n v="405562.82"/>
    <s v="E-Wallet"/>
    <x v="5"/>
    <n v="5"/>
    <n v="0.31838814570576229"/>
  </r>
  <r>
    <s v="ORD-00912"/>
    <d v="2025-12-26T00:00:00"/>
    <d v="2025-12-30T00:00:00"/>
    <s v="CUST-0148"/>
    <s v="Aldi Saputra"/>
    <s v="Corporate"/>
    <s v="Denpasar"/>
    <s v="Bali"/>
    <x v="2"/>
    <x v="2"/>
    <s v="Accessories"/>
    <s v="PROD-1626"/>
    <x v="20"/>
    <n v="5"/>
    <n v="229700"/>
    <n v="0.25"/>
    <n v="861375"/>
    <n v="670557.32999999996"/>
    <n v="190817.67"/>
    <s v="E-Wallet"/>
    <x v="25"/>
    <n v="4"/>
    <n v="0.22152682629516762"/>
  </r>
  <r>
    <s v="ORD-00913"/>
    <d v="2024-11-15T00:00:00"/>
    <d v="2024-11-22T00:00:00"/>
    <s v="CUST-0071"/>
    <s v="Vina Anggraini"/>
    <s v="Consumer"/>
    <s v="Bandung"/>
    <s v="Jawa Barat"/>
    <x v="1"/>
    <x v="1"/>
    <s v="Chair"/>
    <s v="PROD-0956"/>
    <x v="6"/>
    <n v="10"/>
    <n v="643700"/>
    <n v="0.1"/>
    <n v="5793300"/>
    <n v="4245140.22"/>
    <n v="1548159.78"/>
    <s v="Cash"/>
    <x v="2"/>
    <n v="7"/>
    <n v="0.26723279995857285"/>
  </r>
  <r>
    <s v="ORD-00914"/>
    <d v="2025-10-27T00:00:00"/>
    <d v="2025-10-28T00:00:00"/>
    <s v="CUST-0190"/>
    <s v="Aldi Mahendra"/>
    <s v="Small Business"/>
    <s v="Malang"/>
    <s v="Jawa Timur"/>
    <x v="2"/>
    <x v="1"/>
    <s v="Storage"/>
    <s v="PROD-2602"/>
    <x v="3"/>
    <n v="3"/>
    <n v="814900"/>
    <n v="0.1"/>
    <n v="2200230"/>
    <n v="1650976.02"/>
    <n v="549253.98"/>
    <s v="E-Wallet"/>
    <x v="27"/>
    <n v="1"/>
    <n v="0.24963480181617376"/>
  </r>
  <r>
    <s v="ORD-00915"/>
    <d v="2025-03-08T00:00:00"/>
    <d v="2025-03-13T00:00:00"/>
    <s v="CUST-0151"/>
    <s v="Citra Siregar"/>
    <s v="Consumer"/>
    <s v="Bogor"/>
    <s v="Jawa Barat"/>
    <x v="1"/>
    <x v="1"/>
    <s v="Chair"/>
    <s v="PROD-0956"/>
    <x v="6"/>
    <n v="1"/>
    <n v="719000"/>
    <n v="0.25"/>
    <n v="539250"/>
    <n v="456457.62"/>
    <n v="82792.38"/>
    <s v="Credit Card"/>
    <x v="20"/>
    <n v="5"/>
    <n v="0.15353246175243396"/>
  </r>
  <r>
    <s v="ORD-00916"/>
    <d v="2023-03-05T00:00:00"/>
    <d v="2023-03-07T00:00:00"/>
    <s v="CUST-0057"/>
    <s v="Rizky Anggraini"/>
    <s v="Corporate"/>
    <s v="Semarang"/>
    <s v="Jawa Tengah"/>
    <x v="0"/>
    <x v="1"/>
    <s v="Desk"/>
    <s v="PROD-4040"/>
    <x v="7"/>
    <n v="10"/>
    <n v="3387200"/>
    <n v="0.3"/>
    <n v="23710400"/>
    <n v="24066718.52"/>
    <n v="-356318.52"/>
    <s v="Cash"/>
    <x v="24"/>
    <n v="2"/>
    <n v="-1.5027942168837304E-2"/>
  </r>
  <r>
    <s v="ORD-00917"/>
    <d v="2024-11-09T00:00:00"/>
    <d v="2024-11-16T00:00:00"/>
    <s v="CUST-0241"/>
    <s v="Bayu Hidayat"/>
    <s v="Consumer"/>
    <s v="Semarang"/>
    <s v="Jawa Tengah"/>
    <x v="0"/>
    <x v="0"/>
    <s v="Writing"/>
    <s v="PROD-7527"/>
    <x v="5"/>
    <n v="1"/>
    <n v="40800"/>
    <n v="0.1"/>
    <n v="36720"/>
    <n v="22546.63"/>
    <n v="14173.37"/>
    <s v="Bank Transfer"/>
    <x v="2"/>
    <n v="7"/>
    <n v="0.38598502178649241"/>
  </r>
  <r>
    <s v="ORD-00918"/>
    <d v="2023-05-25T00:00:00"/>
    <d v="2023-06-01T00:00:00"/>
    <s v="CUST-0021"/>
    <s v="Lina Hidayat"/>
    <s v="Consumer"/>
    <s v="Medan"/>
    <s v="Sumatera Utara"/>
    <x v="1"/>
    <x v="1"/>
    <s v="Desk"/>
    <s v="PROD-6903"/>
    <x v="13"/>
    <n v="2"/>
    <n v="1352600"/>
    <n v="0"/>
    <n v="2705200"/>
    <n v="1913106.06"/>
    <n v="792093.94"/>
    <s v="Bank Transfer"/>
    <x v="22"/>
    <n v="7"/>
    <n v="0.29280420671299717"/>
  </r>
  <r>
    <s v="ORD-00919"/>
    <d v="2025-11-13T00:00:00"/>
    <d v="2025-11-19T00:00:00"/>
    <s v="CUST-0188"/>
    <s v="Nadia Ramadhan"/>
    <s v="Consumer"/>
    <s v="Bandung"/>
    <s v="Jawa Barat"/>
    <x v="1"/>
    <x v="0"/>
    <s v="Stationery"/>
    <s v="PROD-1004"/>
    <x v="10"/>
    <n v="4"/>
    <n v="27700"/>
    <n v="0.15"/>
    <n v="94180"/>
    <n v="56673.21"/>
    <n v="37506.79"/>
    <s v="E-Wallet"/>
    <x v="34"/>
    <n v="6"/>
    <n v="0.39824580590358888"/>
  </r>
  <r>
    <s v="ORD-00920"/>
    <d v="2024-11-26T00:00:00"/>
    <d v="2024-11-28T00:00:00"/>
    <s v="CUST-0126"/>
    <s v="Nabila Lestari"/>
    <s v="Consumer"/>
    <s v="Semarang"/>
    <s v="Jawa Tengah"/>
    <x v="0"/>
    <x v="0"/>
    <s v="Stationery"/>
    <s v="PROD-5388"/>
    <x v="18"/>
    <n v="3"/>
    <n v="105400"/>
    <n v="0.2"/>
    <n v="252960"/>
    <n v="182740.15"/>
    <n v="70219.850000000006"/>
    <s v="E-Wallet"/>
    <x v="2"/>
    <n v="2"/>
    <n v="0.27759270240354206"/>
  </r>
  <r>
    <s v="ORD-00921"/>
    <d v="2024-12-02T00:00:00"/>
    <d v="2024-12-05T00:00:00"/>
    <s v="CUST-0114"/>
    <s v="Dinda Permata"/>
    <s v="Corporate"/>
    <s v="Denpasar"/>
    <s v="Bali"/>
    <x v="2"/>
    <x v="0"/>
    <s v="Binder"/>
    <s v="PROD-7352"/>
    <x v="16"/>
    <n v="3"/>
    <n v="59800"/>
    <n v="0"/>
    <n v="179400"/>
    <n v="93893.09"/>
    <n v="85506.91"/>
    <s v="E-Wallet"/>
    <x v="23"/>
    <n v="3"/>
    <n v="0.47662714604236345"/>
  </r>
  <r>
    <s v="ORD-00922"/>
    <d v="2025-01-12T00:00:00"/>
    <d v="2025-01-18T00:00:00"/>
    <s v="CUST-0066"/>
    <s v="Eka Anggraini"/>
    <s v="Corporate"/>
    <s v="Makassar"/>
    <s v="Sulawesi Selatan"/>
    <x v="2"/>
    <x v="2"/>
    <s v="Smartphone"/>
    <s v="PROD-2176"/>
    <x v="17"/>
    <n v="4"/>
    <n v="3354000"/>
    <n v="0"/>
    <n v="13416000"/>
    <n v="10753643.460000001"/>
    <n v="2662356.54"/>
    <s v="Cash"/>
    <x v="17"/>
    <n v="6"/>
    <n v="0.19844637298747764"/>
  </r>
  <r>
    <s v="ORD-00923"/>
    <d v="2024-08-21T00:00:00"/>
    <d v="2024-08-28T00:00:00"/>
    <s v="CUST-0208"/>
    <s v="Putri Anggraini"/>
    <s v="Consumer"/>
    <s v="Semarang"/>
    <s v="Jawa Tengah"/>
    <x v="0"/>
    <x v="1"/>
    <s v="Storage"/>
    <s v="PROD-2602"/>
    <x v="3"/>
    <n v="3"/>
    <n v="811400"/>
    <n v="0"/>
    <n v="2434200"/>
    <n v="1578022.9"/>
    <n v="856177.1"/>
    <s v="Credit Card"/>
    <x v="28"/>
    <n v="7"/>
    <n v="0.35172832963602002"/>
  </r>
  <r>
    <s v="ORD-00924"/>
    <d v="2023-12-15T00:00:00"/>
    <d v="2023-12-18T00:00:00"/>
    <s v="CUST-0195"/>
    <s v="Aldi Ramadhan"/>
    <s v="Consumer"/>
    <s v="Medan"/>
    <s v="Sumatera Utara"/>
    <x v="1"/>
    <x v="0"/>
    <s v="Binder"/>
    <s v="PROD-7352"/>
    <x v="16"/>
    <n v="3"/>
    <n v="61100"/>
    <n v="0.05"/>
    <n v="174135"/>
    <n v="98404.15"/>
    <n v="75730.850000000006"/>
    <s v="Cash"/>
    <x v="4"/>
    <n v="3"/>
    <n v="0.43489734975737221"/>
  </r>
  <r>
    <s v="ORD-00925"/>
    <d v="2023-05-13T00:00:00"/>
    <d v="2023-05-16T00:00:00"/>
    <s v="CUST-0007"/>
    <s v="Anisa Mahendra"/>
    <s v="Consumer"/>
    <s v="Semarang"/>
    <s v="Jawa Tengah"/>
    <x v="0"/>
    <x v="2"/>
    <s v="Smartphone"/>
    <s v="PROD-6076"/>
    <x v="15"/>
    <n v="3"/>
    <n v="4598600"/>
    <n v="0.05"/>
    <n v="13106010"/>
    <n v="11057174.970000001"/>
    <n v="2048835.03"/>
    <s v="Bank Transfer"/>
    <x v="22"/>
    <n v="3"/>
    <n v="0.15632790071120042"/>
  </r>
  <r>
    <s v="ORD-00926"/>
    <d v="2025-12-09T00:00:00"/>
    <d v="2025-12-11T00:00:00"/>
    <s v="CUST-0041"/>
    <s v="Rizky Pratama"/>
    <s v="Consumer"/>
    <s v="Jakarta"/>
    <s v="DKI Jakarta"/>
    <x v="1"/>
    <x v="0"/>
    <s v="Binder"/>
    <s v="PROD-7352"/>
    <x v="16"/>
    <n v="8"/>
    <n v="56700"/>
    <n v="0"/>
    <n v="453600"/>
    <n v="258442.28"/>
    <n v="195157.72"/>
    <s v="Bank Transfer"/>
    <x v="25"/>
    <n v="2"/>
    <n v="0.43024188712522043"/>
  </r>
  <r>
    <s v="ORD-00927"/>
    <d v="2025-07-03T00:00:00"/>
    <d v="2025-07-08T00:00:00"/>
    <s v="CUST-0234"/>
    <s v="Fajar Pratama"/>
    <s v="Corporate"/>
    <s v="Yogyakarta"/>
    <s v="DI Yogyakarta"/>
    <x v="0"/>
    <x v="1"/>
    <s v="Chair"/>
    <s v="PROD-0956"/>
    <x v="6"/>
    <n v="3"/>
    <n v="678100"/>
    <n v="0"/>
    <n v="2034300"/>
    <n v="1353578.13"/>
    <n v="680721.87"/>
    <s v="Credit Card"/>
    <x v="19"/>
    <n v="5"/>
    <n v="0.33462216487243768"/>
  </r>
  <r>
    <s v="ORD-00928"/>
    <d v="2024-06-28T00:00:00"/>
    <d v="2024-07-03T00:00:00"/>
    <s v="CUST-0245"/>
    <s v="Oki Santoso"/>
    <s v="Small Business"/>
    <s v="Bandung"/>
    <s v="Jawa Barat"/>
    <x v="1"/>
    <x v="2"/>
    <s v="Smartphone"/>
    <s v="PROD-6076"/>
    <x v="15"/>
    <n v="2"/>
    <n v="4292900"/>
    <n v="0"/>
    <n v="8585800"/>
    <n v="6607662.1200000001"/>
    <n v="1978137.88"/>
    <s v="Credit Card"/>
    <x v="35"/>
    <n v="5"/>
    <n v="0.23039645461110203"/>
  </r>
  <r>
    <s v="ORD-00929"/>
    <d v="2023-04-15T00:00:00"/>
    <d v="2023-04-18T00:00:00"/>
    <s v="CUST-0250"/>
    <s v="Joko Anggraini"/>
    <s v="Consumer"/>
    <s v="Semarang"/>
    <s v="Jawa Tengah"/>
    <x v="0"/>
    <x v="0"/>
    <s v="Paper"/>
    <s v="PROD-9601"/>
    <x v="9"/>
    <n v="1"/>
    <n v="71700"/>
    <n v="0.1"/>
    <n v="64530"/>
    <n v="40669"/>
    <n v="23861"/>
    <s v="Cash"/>
    <x v="14"/>
    <n v="3"/>
    <n v="0.36976600030993334"/>
  </r>
  <r>
    <s v="ORD-00930"/>
    <d v="2023-01-20T00:00:00"/>
    <d v="2023-01-25T00:00:00"/>
    <s v="CUST-0129"/>
    <s v="Nabila Hidayat"/>
    <s v="Corporate"/>
    <s v="Denpasar"/>
    <s v="Bali"/>
    <x v="2"/>
    <x v="1"/>
    <s v="Chair"/>
    <s v="PROD-9951"/>
    <x v="19"/>
    <n v="3"/>
    <n v="1819400"/>
    <n v="0.15"/>
    <n v="4639470"/>
    <n v="3886969.76"/>
    <n v="752500.24"/>
    <s v="Credit Card"/>
    <x v="11"/>
    <n v="5"/>
    <n v="0.16219530248067129"/>
  </r>
  <r>
    <s v="ORD-00931"/>
    <d v="2024-07-08T00:00:00"/>
    <d v="2024-07-12T00:00:00"/>
    <s v="CUST-0141"/>
    <s v="Yoga Saputra"/>
    <s v="Consumer"/>
    <s v="Medan"/>
    <s v="Sumatera Utara"/>
    <x v="1"/>
    <x v="0"/>
    <s v="Binder"/>
    <s v="PROD-7352"/>
    <x v="16"/>
    <n v="8"/>
    <n v="54100"/>
    <n v="0.2"/>
    <n v="346240"/>
    <n v="225340.62"/>
    <n v="120899.38"/>
    <s v="E-Wallet"/>
    <x v="29"/>
    <n v="4"/>
    <n v="0.34917796903881704"/>
  </r>
  <r>
    <s v="ORD-00932"/>
    <d v="2025-10-27T00:00:00"/>
    <d v="2025-10-30T00:00:00"/>
    <s v="CUST-0222"/>
    <s v="Yoga Lestari"/>
    <s v="Consumer"/>
    <s v="Bogor"/>
    <s v="Jawa Barat"/>
    <x v="1"/>
    <x v="0"/>
    <s v="Paper"/>
    <s v="PROD-9601"/>
    <x v="9"/>
    <n v="6"/>
    <n v="76900"/>
    <n v="0.05"/>
    <n v="438330"/>
    <n v="260451.61"/>
    <n v="177878.39"/>
    <s v="E-Wallet"/>
    <x v="27"/>
    <n v="3"/>
    <n v="0.40580929893002993"/>
  </r>
  <r>
    <s v="ORD-00933"/>
    <d v="2023-07-13T00:00:00"/>
    <d v="2023-07-20T00:00:00"/>
    <s v="CUST-0164"/>
    <s v="Nabila Saputra"/>
    <s v="Corporate"/>
    <s v="Medan"/>
    <s v="Sumatera Utara"/>
    <x v="1"/>
    <x v="1"/>
    <s v="Storage"/>
    <s v="PROD-2602"/>
    <x v="3"/>
    <n v="4"/>
    <n v="929000"/>
    <n v="0"/>
    <n v="3716000"/>
    <n v="2452189.8199999998"/>
    <n v="1263810.18"/>
    <s v="Credit Card"/>
    <x v="13"/>
    <n v="7"/>
    <n v="0.34009961786867599"/>
  </r>
  <r>
    <s v="ORD-00934"/>
    <d v="2025-08-24T00:00:00"/>
    <d v="2025-08-25T00:00:00"/>
    <s v="CUST-0081"/>
    <s v="Kartika Saputra"/>
    <s v="Corporate"/>
    <s v="Makassar"/>
    <s v="Sulawesi Selatan"/>
    <x v="2"/>
    <x v="0"/>
    <s v="Writing"/>
    <s v="PROD-7529"/>
    <x v="0"/>
    <n v="1"/>
    <n v="72700"/>
    <n v="0.15"/>
    <n v="61795"/>
    <n v="41645.14"/>
    <n v="20149.86"/>
    <s v="E-Wallet"/>
    <x v="12"/>
    <n v="1"/>
    <n v="0.32607589610809939"/>
  </r>
  <r>
    <s v="ORD-00935"/>
    <d v="2025-08-28T00:00:00"/>
    <d v="2025-09-03T00:00:00"/>
    <s v="CUST-0171"/>
    <s v="Farhan Permata"/>
    <s v="Consumer"/>
    <s v="Yogyakarta"/>
    <s v="DI Yogyakarta"/>
    <x v="0"/>
    <x v="1"/>
    <s v="Desk"/>
    <s v="PROD-4040"/>
    <x v="7"/>
    <n v="2"/>
    <n v="3428400"/>
    <n v="0"/>
    <n v="6856800"/>
    <n v="4650239.07"/>
    <n v="2206560.9300000002"/>
    <s v="E-Wallet"/>
    <x v="12"/>
    <n v="6"/>
    <n v="0.32180622593629682"/>
  </r>
  <r>
    <s v="ORD-00936"/>
    <d v="2024-10-07T00:00:00"/>
    <d v="2024-10-11T00:00:00"/>
    <s v="CUST-0234"/>
    <s v="Nabila Lestari"/>
    <s v="Consumer"/>
    <s v="Malang"/>
    <s v="Jawa Timur"/>
    <x v="2"/>
    <x v="2"/>
    <s v="Accessories"/>
    <s v="PROD-1626"/>
    <x v="20"/>
    <n v="1"/>
    <n v="227700"/>
    <n v="0.1"/>
    <n v="204930"/>
    <n v="132274.25"/>
    <n v="72655.75"/>
    <s v="Cash"/>
    <x v="21"/>
    <n v="4"/>
    <n v="0.35453935490167376"/>
  </r>
  <r>
    <s v="ORD-00937"/>
    <d v="2023-02-09T00:00:00"/>
    <d v="2023-02-16T00:00:00"/>
    <s v="CUST-0103"/>
    <s v="Rizky Putra"/>
    <s v="Consumer"/>
    <s v="Yogyakarta"/>
    <s v="DI Yogyakarta"/>
    <x v="0"/>
    <x v="0"/>
    <s v="Writing"/>
    <s v="PROD-7529"/>
    <x v="0"/>
    <n v="1"/>
    <n v="67600"/>
    <n v="0.05"/>
    <n v="64220"/>
    <n v="37327.120000000003"/>
    <n v="26892.880000000001"/>
    <s v="E-Wallet"/>
    <x v="31"/>
    <n v="7"/>
    <n v="0.41876175646216135"/>
  </r>
  <r>
    <s v="ORD-00938"/>
    <d v="2025-10-27T00:00:00"/>
    <d v="2025-10-31T00:00:00"/>
    <s v="CUST-0024"/>
    <s v="Nabila Ramadhan"/>
    <s v="Consumer"/>
    <s v="Bandung"/>
    <s v="Jawa Barat"/>
    <x v="1"/>
    <x v="0"/>
    <s v="Paper"/>
    <s v="PROD-9601"/>
    <x v="9"/>
    <n v="4"/>
    <n v="84100"/>
    <n v="0.1"/>
    <n v="302760"/>
    <n v="209504.61"/>
    <n v="93255.39"/>
    <s v="E-Wallet"/>
    <x v="27"/>
    <n v="4"/>
    <n v="0.30801753864447085"/>
  </r>
  <r>
    <s v="ORD-00939"/>
    <d v="2025-03-09T00:00:00"/>
    <d v="2025-03-15T00:00:00"/>
    <s v="CUST-0225"/>
    <s v="Rian Lestari"/>
    <s v="Consumer"/>
    <s v="Semarang"/>
    <s v="Jawa Tengah"/>
    <x v="0"/>
    <x v="0"/>
    <s v="Stationery"/>
    <s v="PROD-5388"/>
    <x v="18"/>
    <n v="1"/>
    <n v="104900"/>
    <n v="0.05"/>
    <n v="99655"/>
    <n v="60984.46"/>
    <n v="38670.54"/>
    <s v="Cash"/>
    <x v="20"/>
    <n v="6"/>
    <n v="0.38804415232552308"/>
  </r>
  <r>
    <s v="ORD-00940"/>
    <d v="2023-08-16T00:00:00"/>
    <d v="2023-08-20T00:00:00"/>
    <s v="CUST-0046"/>
    <s v="Oki Putra"/>
    <s v="Small Business"/>
    <s v="Surabaya"/>
    <s v="Jawa Timur"/>
    <x v="2"/>
    <x v="2"/>
    <s v="Laptop"/>
    <s v="PROD-8448"/>
    <x v="12"/>
    <n v="5"/>
    <n v="6662800"/>
    <n v="0.1"/>
    <n v="29982600"/>
    <n v="27307657.850000001"/>
    <n v="2674942.15"/>
    <s v="Cash"/>
    <x v="0"/>
    <n v="4"/>
    <n v="8.9216483893991852E-2"/>
  </r>
  <r>
    <s v="ORD-00941"/>
    <d v="2024-11-02T00:00:00"/>
    <d v="2024-11-07T00:00:00"/>
    <s v="CUST-0161"/>
    <s v="Bayu Permata"/>
    <s v="Corporate"/>
    <s v="Yogyakarta"/>
    <s v="DI Yogyakarta"/>
    <x v="0"/>
    <x v="1"/>
    <s v="Storage"/>
    <s v="PROD-2602"/>
    <x v="3"/>
    <n v="3"/>
    <n v="809900"/>
    <n v="0.15"/>
    <n v="2065245"/>
    <n v="1679108.06"/>
    <n v="386136.94"/>
    <s v="E-Wallet"/>
    <x v="2"/>
    <n v="5"/>
    <n v="0.18696907146609723"/>
  </r>
  <r>
    <s v="ORD-00942"/>
    <d v="2025-07-02T00:00:00"/>
    <d v="2025-07-08T00:00:00"/>
    <s v="CUST-0012"/>
    <s v="Eka Santoso"/>
    <s v="Consumer"/>
    <s v="Surabaya"/>
    <s v="Jawa Timur"/>
    <x v="2"/>
    <x v="0"/>
    <s v="Writing"/>
    <s v="PROD-7527"/>
    <x v="5"/>
    <n v="2"/>
    <n v="42500"/>
    <n v="0.3"/>
    <n v="59500"/>
    <n v="43478.36"/>
    <n v="16021.64"/>
    <s v="Cash"/>
    <x v="19"/>
    <n v="6"/>
    <n v="0.26927126050420169"/>
  </r>
  <r>
    <s v="ORD-00943"/>
    <d v="2025-04-21T00:00:00"/>
    <d v="2025-04-25T00:00:00"/>
    <s v="CUST-0017"/>
    <s v="Raka Nugroho"/>
    <s v="Small Business"/>
    <s v="Jakarta"/>
    <s v="DKI Jakarta"/>
    <x v="1"/>
    <x v="1"/>
    <s v="Desk"/>
    <s v="PROD-4040"/>
    <x v="7"/>
    <n v="6"/>
    <n v="3190000"/>
    <n v="0"/>
    <n v="19140000"/>
    <n v="13489600.77"/>
    <n v="5650399.2300000004"/>
    <s v="Bank Transfer"/>
    <x v="5"/>
    <n v="4"/>
    <n v="0.29521417084639501"/>
  </r>
  <r>
    <s v="ORD-00944"/>
    <d v="2024-10-31T00:00:00"/>
    <d v="2024-11-07T00:00:00"/>
    <s v="CUST-0082"/>
    <s v="Rizky Saputra"/>
    <s v="Consumer"/>
    <s v="Makassar"/>
    <s v="Sulawesi Selatan"/>
    <x v="2"/>
    <x v="1"/>
    <s v="Desk"/>
    <s v="PROD-6903"/>
    <x v="13"/>
    <n v="4"/>
    <n v="1280500"/>
    <n v="0.3"/>
    <n v="3585400"/>
    <n v="3608393.85"/>
    <n v="-22993.85"/>
    <s v="Bank Transfer"/>
    <x v="21"/>
    <n v="7"/>
    <n v="-6.4131896022758964E-3"/>
  </r>
  <r>
    <s v="ORD-00945"/>
    <d v="2023-06-29T00:00:00"/>
    <d v="2023-07-04T00:00:00"/>
    <s v="CUST-0078"/>
    <s v="Wulan Permata"/>
    <s v="Corporate"/>
    <s v="Bandung"/>
    <s v="Jawa Barat"/>
    <x v="1"/>
    <x v="0"/>
    <s v="Writing"/>
    <s v="PROD-7529"/>
    <x v="0"/>
    <n v="5"/>
    <n v="68200"/>
    <n v="0.2"/>
    <n v="272800"/>
    <n v="198735.94"/>
    <n v="74064.06"/>
    <s v="Cash"/>
    <x v="9"/>
    <n v="5"/>
    <n v="0.27149582111436948"/>
  </r>
  <r>
    <s v="ORD-00946"/>
    <d v="2023-05-30T00:00:00"/>
    <d v="2023-06-01T00:00:00"/>
    <s v="CUST-0200"/>
    <s v="Aldi Pratama"/>
    <s v="Corporate"/>
    <s v="Denpasar"/>
    <s v="Bali"/>
    <x v="2"/>
    <x v="0"/>
    <s v="Binder"/>
    <s v="PROD-7352"/>
    <x v="16"/>
    <n v="5"/>
    <n v="55300"/>
    <n v="0"/>
    <n v="276500"/>
    <n v="151099.57"/>
    <n v="125400.43"/>
    <s v="Cash"/>
    <x v="22"/>
    <n v="2"/>
    <n v="0.45352777576853526"/>
  </r>
  <r>
    <s v="ORD-00947"/>
    <d v="2024-04-06T00:00:00"/>
    <d v="2024-04-09T00:00:00"/>
    <s v="CUST-0182"/>
    <s v="Dinda Siregar"/>
    <s v="Corporate"/>
    <s v="Semarang"/>
    <s v="Jawa Tengah"/>
    <x v="0"/>
    <x v="1"/>
    <s v="Desk"/>
    <s v="PROD-6903"/>
    <x v="13"/>
    <n v="2"/>
    <n v="1304700"/>
    <n v="0"/>
    <n v="2609400"/>
    <n v="1847598.21"/>
    <n v="761801.79"/>
    <s v="E-Wallet"/>
    <x v="1"/>
    <n v="3"/>
    <n v="0.29194519429753968"/>
  </r>
  <r>
    <s v="ORD-00948"/>
    <d v="2023-11-09T00:00:00"/>
    <d v="2023-11-11T00:00:00"/>
    <s v="CUST-0179"/>
    <s v="Citra Permata"/>
    <s v="Consumer"/>
    <s v="Yogyakarta"/>
    <s v="DI Yogyakarta"/>
    <x v="0"/>
    <x v="0"/>
    <s v="Writing"/>
    <s v="PROD-7529"/>
    <x v="0"/>
    <n v="2"/>
    <n v="75300"/>
    <n v="0"/>
    <n v="150600"/>
    <n v="78603.88"/>
    <n v="71996.12"/>
    <s v="Bank Transfer"/>
    <x v="8"/>
    <n v="2"/>
    <n v="0.47806188579017261"/>
  </r>
  <r>
    <s v="ORD-00949"/>
    <d v="2024-10-07T00:00:00"/>
    <d v="2024-10-09T00:00:00"/>
    <s v="CUST-0226"/>
    <s v="Dewi Nugroho"/>
    <s v="Consumer"/>
    <s v="Yogyakarta"/>
    <s v="DI Yogyakarta"/>
    <x v="0"/>
    <x v="0"/>
    <s v="Writing"/>
    <s v="PROD-7529"/>
    <x v="0"/>
    <n v="1"/>
    <n v="75000"/>
    <n v="0.15"/>
    <n v="63750"/>
    <n v="38618.720000000001"/>
    <n v="25131.279999999999"/>
    <s v="E-Wallet"/>
    <x v="21"/>
    <n v="2"/>
    <n v="0.39421615686274508"/>
  </r>
  <r>
    <s v="ORD-00950"/>
    <d v="2025-02-07T00:00:00"/>
    <d v="2025-02-08T00:00:00"/>
    <s v="CUST-0064"/>
    <s v="Citra Wijaya"/>
    <s v="Consumer"/>
    <s v="Semarang"/>
    <s v="Jawa Tengah"/>
    <x v="0"/>
    <x v="1"/>
    <s v="Storage"/>
    <s v="PROD-2602"/>
    <x v="3"/>
    <n v="2"/>
    <n v="821000"/>
    <n v="0.15"/>
    <n v="1395700"/>
    <n v="1095827.05"/>
    <n v="299872.95"/>
    <s v="Cash"/>
    <x v="3"/>
    <n v="1"/>
    <n v="0.21485487568961811"/>
  </r>
  <r>
    <s v="ORD-00951"/>
    <d v="2025-11-03T00:00:00"/>
    <d v="2025-11-08T00:00:00"/>
    <s v="CUST-0213"/>
    <s v="Gita Putra"/>
    <s v="Corporate"/>
    <s v="Bogor"/>
    <s v="Jawa Barat"/>
    <x v="1"/>
    <x v="0"/>
    <s v="Paper"/>
    <s v="PROD-9601"/>
    <x v="9"/>
    <n v="8"/>
    <n v="80800"/>
    <n v="0.05"/>
    <n v="614080"/>
    <n v="404678.69"/>
    <n v="209401.31"/>
    <s v="Bank Transfer"/>
    <x v="34"/>
    <n v="5"/>
    <n v="0.34100004885356955"/>
  </r>
  <r>
    <s v="ORD-00952"/>
    <d v="2023-07-05T00:00:00"/>
    <d v="2023-07-12T00:00:00"/>
    <s v="CUST-0052"/>
    <s v="Lina Permata"/>
    <s v="Consumer"/>
    <s v="Yogyakarta"/>
    <s v="DI Yogyakarta"/>
    <x v="0"/>
    <x v="1"/>
    <s v="Desk"/>
    <s v="PROD-4040"/>
    <x v="7"/>
    <n v="1"/>
    <n v="3098400"/>
    <n v="0.05"/>
    <n v="2943480"/>
    <n v="2331554.54"/>
    <n v="611925.46"/>
    <s v="Cash"/>
    <x v="13"/>
    <n v="7"/>
    <n v="0.20789183551442508"/>
  </r>
  <r>
    <s v="ORD-00953"/>
    <d v="2024-09-26T00:00:00"/>
    <d v="2024-10-03T00:00:00"/>
    <s v="CUST-0141"/>
    <s v="Farhan Ramadhan"/>
    <s v="Small Business"/>
    <s v="Semarang"/>
    <s v="Jawa Tengah"/>
    <x v="0"/>
    <x v="2"/>
    <s v="Accessories"/>
    <s v="PROD-3744"/>
    <x v="4"/>
    <n v="3"/>
    <n v="134800"/>
    <n v="0.2"/>
    <n v="323520"/>
    <n v="223307.7"/>
    <n v="100212.3"/>
    <s v="Bank Transfer"/>
    <x v="16"/>
    <n v="7"/>
    <n v="0.30975612017804155"/>
  </r>
  <r>
    <s v="ORD-00954"/>
    <d v="2024-10-24T00:00:00"/>
    <d v="2024-10-25T00:00:00"/>
    <s v="CUST-0108"/>
    <s v="Bayu Mahendra"/>
    <s v="Corporate"/>
    <s v="Bogor"/>
    <s v="Jawa Barat"/>
    <x v="1"/>
    <x v="2"/>
    <s v="Smartphone"/>
    <s v="PROD-6076"/>
    <x v="15"/>
    <n v="2"/>
    <n v="4375000"/>
    <n v="0.05"/>
    <n v="8312500"/>
    <n v="6267639.04"/>
    <n v="2044860.96"/>
    <s v="Credit Card"/>
    <x v="21"/>
    <n v="1"/>
    <n v="0.2459983109774436"/>
  </r>
  <r>
    <s v="ORD-00955"/>
    <d v="2024-08-23T00:00:00"/>
    <d v="2024-08-26T00:00:00"/>
    <s v="CUST-0057"/>
    <s v="Rizky Wijaya"/>
    <s v="Consumer"/>
    <s v="Malang"/>
    <s v="Jawa Timur"/>
    <x v="2"/>
    <x v="1"/>
    <s v="Chair"/>
    <s v="PROD-0956"/>
    <x v="6"/>
    <n v="4"/>
    <n v="700900"/>
    <n v="0"/>
    <n v="2803600"/>
    <n v="1909641.98"/>
    <n v="893958.02"/>
    <s v="Credit Card"/>
    <x v="28"/>
    <n v="3"/>
    <n v="0.31886075759737481"/>
  </r>
  <r>
    <s v="ORD-00956"/>
    <d v="2023-03-03T00:00:00"/>
    <d v="2023-03-07T00:00:00"/>
    <s v="CUST-0241"/>
    <s v="Bima Mahendra"/>
    <s v="Small Business"/>
    <s v="Surabaya"/>
    <s v="Jawa Timur"/>
    <x v="2"/>
    <x v="2"/>
    <s v="Accessories"/>
    <s v="PROD-1626"/>
    <x v="20"/>
    <n v="3"/>
    <n v="208400"/>
    <n v="0"/>
    <n v="625200"/>
    <n v="357753.67"/>
    <n v="267446.33"/>
    <s v="E-Wallet"/>
    <x v="24"/>
    <n v="4"/>
    <n v="0.42777723928342931"/>
  </r>
  <r>
    <s v="ORD-00957"/>
    <d v="2023-10-23T00:00:00"/>
    <d v="2023-10-27T00:00:00"/>
    <s v="CUST-0034"/>
    <s v="Dewi Kusuma"/>
    <s v="Corporate"/>
    <s v="Makassar"/>
    <s v="Sulawesi Selatan"/>
    <x v="2"/>
    <x v="2"/>
    <s v="Accessories"/>
    <s v="PROD-1626"/>
    <x v="20"/>
    <n v="1"/>
    <n v="207800"/>
    <n v="0.2"/>
    <n v="166240"/>
    <n v="119939.18"/>
    <n v="46300.82"/>
    <s v="Credit Card"/>
    <x v="30"/>
    <n v="4"/>
    <n v="0.27851792589027913"/>
  </r>
  <r>
    <s v="ORD-00958"/>
    <d v="2025-08-09T00:00:00"/>
    <d v="2025-08-13T00:00:00"/>
    <s v="CUST-0188"/>
    <s v="Vina Ramadhan"/>
    <s v="Small Business"/>
    <s v="Bogor"/>
    <s v="Jawa Barat"/>
    <x v="1"/>
    <x v="0"/>
    <s v="Stationery"/>
    <s v="PROD-5388"/>
    <x v="18"/>
    <n v="2"/>
    <n v="115400"/>
    <n v="0.2"/>
    <n v="184640"/>
    <n v="127170.69"/>
    <n v="57469.31"/>
    <s v="Bank Transfer"/>
    <x v="12"/>
    <n v="4"/>
    <n v="0.31125059575389946"/>
  </r>
  <r>
    <s v="ORD-00959"/>
    <d v="2023-07-17T00:00:00"/>
    <d v="2023-07-21T00:00:00"/>
    <s v="CUST-0207"/>
    <s v="Joko Siregar"/>
    <s v="Consumer"/>
    <s v="Semarang"/>
    <s v="Jawa Tengah"/>
    <x v="0"/>
    <x v="1"/>
    <s v="Storage"/>
    <s v="PROD-7524"/>
    <x v="1"/>
    <n v="4"/>
    <n v="912700"/>
    <n v="0.1"/>
    <n v="3285720"/>
    <n v="2598265.5099999998"/>
    <n v="687454.49"/>
    <s v="Credit Card"/>
    <x v="13"/>
    <n v="4"/>
    <n v="0.20922491569579879"/>
  </r>
  <r>
    <s v="ORD-00960"/>
    <d v="2023-08-04T00:00:00"/>
    <d v="2023-08-06T00:00:00"/>
    <s v="CUST-0068"/>
    <s v="Kartika Hidayat"/>
    <s v="Consumer"/>
    <s v="Yogyakarta"/>
    <s v="DI Yogyakarta"/>
    <x v="0"/>
    <x v="2"/>
    <s v="Smartphone"/>
    <s v="PROD-2176"/>
    <x v="17"/>
    <n v="3"/>
    <n v="3246000"/>
    <n v="0.1"/>
    <n v="8764200"/>
    <n v="7880943.7699999996"/>
    <n v="883256.23"/>
    <s v="Cash"/>
    <x v="0"/>
    <n v="2"/>
    <n v="0.10078001757148398"/>
  </r>
  <r>
    <s v="ORD-00961"/>
    <d v="2025-02-06T00:00:00"/>
    <d v="2025-02-12T00:00:00"/>
    <s v="CUST-0122"/>
    <s v="Fajar Hidayat"/>
    <s v="Corporate"/>
    <s v="Malang"/>
    <s v="Jawa Timur"/>
    <x v="2"/>
    <x v="2"/>
    <s v="Laptop"/>
    <s v="PROD-7745"/>
    <x v="14"/>
    <n v="10"/>
    <n v="7405800"/>
    <n v="0.1"/>
    <n v="66652200"/>
    <n v="61150241.590000004"/>
    <n v="5501958.4100000001"/>
    <s v="Credit Card"/>
    <x v="3"/>
    <n v="6"/>
    <n v="8.2547288911693842E-2"/>
  </r>
  <r>
    <s v="ORD-00962"/>
    <d v="2024-10-22T00:00:00"/>
    <d v="2024-10-23T00:00:00"/>
    <s v="CUST-0061"/>
    <s v="Farhan Lestari"/>
    <s v="Consumer"/>
    <s v="Surabaya"/>
    <s v="Jawa Timur"/>
    <x v="2"/>
    <x v="1"/>
    <s v="Desk"/>
    <s v="PROD-4040"/>
    <x v="7"/>
    <n v="2"/>
    <n v="2983900"/>
    <n v="0.1"/>
    <n v="5371020"/>
    <n v="4265037.63"/>
    <n v="1105982.3700000001"/>
    <s v="Cash"/>
    <x v="21"/>
    <n v="1"/>
    <n v="0.20591663594624487"/>
  </r>
  <r>
    <s v="ORD-00963"/>
    <d v="2025-11-19T00:00:00"/>
    <d v="2025-11-22T00:00:00"/>
    <s v="CUST-0135"/>
    <s v="Citra Utami"/>
    <s v="Consumer"/>
    <s v="Yogyakarta"/>
    <s v="DI Yogyakarta"/>
    <x v="0"/>
    <x v="2"/>
    <s v="Smartphone"/>
    <s v="PROD-2176"/>
    <x v="17"/>
    <n v="4"/>
    <n v="3201200"/>
    <n v="0"/>
    <n v="12804800"/>
    <n v="10328274.609999999"/>
    <n v="2476525.39"/>
    <s v="Cash"/>
    <x v="34"/>
    <n v="3"/>
    <n v="0.19340601883668626"/>
  </r>
  <r>
    <s v="ORD-00964"/>
    <d v="2025-01-18T00:00:00"/>
    <d v="2025-01-22T00:00:00"/>
    <s v="CUST-0178"/>
    <s v="Joko Kusuma"/>
    <s v="Consumer"/>
    <s v="Bandung"/>
    <s v="Jawa Barat"/>
    <x v="1"/>
    <x v="0"/>
    <s v="Writing"/>
    <s v="PROD-7527"/>
    <x v="5"/>
    <n v="5"/>
    <n v="41700"/>
    <n v="0.15"/>
    <n v="177225"/>
    <n v="104779.14"/>
    <n v="72445.86"/>
    <s v="Cash"/>
    <x v="17"/>
    <n v="4"/>
    <n v="0.40877900973338976"/>
  </r>
  <r>
    <s v="ORD-00965"/>
    <d v="2025-06-12T00:00:00"/>
    <d v="2025-06-17T00:00:00"/>
    <s v="CUST-0182"/>
    <s v="Raka Anggraini"/>
    <s v="Consumer"/>
    <s v="Medan"/>
    <s v="Sumatera Utara"/>
    <x v="1"/>
    <x v="0"/>
    <s v="Paper"/>
    <s v="PROD-9601"/>
    <x v="9"/>
    <n v="1"/>
    <n v="79800"/>
    <n v="0.15"/>
    <n v="67830"/>
    <n v="45165.22"/>
    <n v="22664.78"/>
    <s v="Credit Card"/>
    <x v="7"/>
    <n v="5"/>
    <n v="0.33414094058676103"/>
  </r>
  <r>
    <s v="ORD-00966"/>
    <d v="2023-11-07T00:00:00"/>
    <d v="2023-11-12T00:00:00"/>
    <s v="CUST-0085"/>
    <s v="Wulan Ramadhan"/>
    <s v="Consumer"/>
    <s v="Medan"/>
    <s v="Sumatera Utara"/>
    <x v="1"/>
    <x v="0"/>
    <s v="Paper"/>
    <s v="PROD-7955"/>
    <x v="8"/>
    <n v="3"/>
    <n v="64900"/>
    <n v="0"/>
    <n v="194700"/>
    <n v="103940.71"/>
    <n v="90759.29"/>
    <s v="Credit Card"/>
    <x v="8"/>
    <n v="5"/>
    <n v="0.46614940934771437"/>
  </r>
  <r>
    <s v="ORD-00967"/>
    <d v="2024-04-08T00:00:00"/>
    <d v="2024-04-15T00:00:00"/>
    <s v="CUST-0152"/>
    <s v="Maya Siregar"/>
    <s v="Small Business"/>
    <s v="Medan"/>
    <s v="Sumatera Utara"/>
    <x v="1"/>
    <x v="0"/>
    <s v="Writing"/>
    <s v="PROD-7527"/>
    <x v="5"/>
    <n v="5"/>
    <n v="43300"/>
    <n v="0.25"/>
    <n v="162375"/>
    <n v="120838.52"/>
    <n v="41536.480000000003"/>
    <s v="Cash"/>
    <x v="1"/>
    <n v="7"/>
    <n v="0.25580588144726712"/>
  </r>
  <r>
    <s v="ORD-00968"/>
    <d v="2025-12-04T00:00:00"/>
    <d v="2025-12-08T00:00:00"/>
    <s v="CUST-0035"/>
    <s v="Bima Utami"/>
    <s v="Consumer"/>
    <s v="Surabaya"/>
    <s v="Jawa Timur"/>
    <x v="2"/>
    <x v="0"/>
    <s v="Stationery"/>
    <s v="PROD-5388"/>
    <x v="18"/>
    <n v="1"/>
    <n v="109900"/>
    <n v="0.1"/>
    <n v="98910"/>
    <n v="62048.44"/>
    <n v="36861.56"/>
    <s v="E-Wallet"/>
    <x v="25"/>
    <n v="4"/>
    <n v="0.37267778788797895"/>
  </r>
  <r>
    <s v="ORD-00969"/>
    <d v="2025-04-20T00:00:00"/>
    <d v="2025-04-22T00:00:00"/>
    <s v="CUST-0037"/>
    <s v="Hadi Lestari"/>
    <s v="Consumer"/>
    <s v="Semarang"/>
    <s v="Jawa Tengah"/>
    <x v="0"/>
    <x v="2"/>
    <s v="Smartphone"/>
    <s v="PROD-2176"/>
    <x v="17"/>
    <n v="3"/>
    <n v="3155300"/>
    <n v="0"/>
    <n v="9465900"/>
    <n v="7614670.0999999996"/>
    <n v="1851229.9"/>
    <s v="Credit Card"/>
    <x v="5"/>
    <n v="2"/>
    <n v="0.19556829250256183"/>
  </r>
  <r>
    <s v="ORD-00970"/>
    <d v="2023-10-15T00:00:00"/>
    <d v="2023-10-19T00:00:00"/>
    <s v="CUST-0053"/>
    <s v="Nabila Ramadhan"/>
    <s v="Consumer"/>
    <s v="Semarang"/>
    <s v="Jawa Tengah"/>
    <x v="0"/>
    <x v="2"/>
    <s v="Smartphone"/>
    <s v="PROD-2176"/>
    <x v="17"/>
    <n v="4"/>
    <n v="2887600"/>
    <n v="0"/>
    <n v="11550400"/>
    <n v="8694478.8900000006"/>
    <n v="2855921.11"/>
    <s v="E-Wallet"/>
    <x v="30"/>
    <n v="4"/>
    <n v="0.24725733394514474"/>
  </r>
  <r>
    <s v="ORD-00971"/>
    <d v="2025-08-22T00:00:00"/>
    <d v="2025-08-24T00:00:00"/>
    <s v="CUST-0140"/>
    <s v="Bima Hidayat"/>
    <s v="Corporate"/>
    <s v="Bandung"/>
    <s v="Jawa Barat"/>
    <x v="1"/>
    <x v="0"/>
    <s v="Binder"/>
    <s v="PROD-9396"/>
    <x v="21"/>
    <n v="1"/>
    <n v="41600"/>
    <n v="0.15"/>
    <n v="35360"/>
    <n v="21706.9"/>
    <n v="13653.1"/>
    <s v="Cash"/>
    <x v="12"/>
    <n v="2"/>
    <n v="0.38611708144796381"/>
  </r>
  <r>
    <s v="ORD-00972"/>
    <d v="2024-06-07T00:00:00"/>
    <d v="2024-06-08T00:00:00"/>
    <s v="CUST-0186"/>
    <s v="Hadi Nugroho"/>
    <s v="Consumer"/>
    <s v="Makassar"/>
    <s v="Sulawesi Selatan"/>
    <x v="2"/>
    <x v="0"/>
    <s v="Stationery"/>
    <s v="PROD-1004"/>
    <x v="10"/>
    <n v="4"/>
    <n v="25600"/>
    <n v="0"/>
    <n v="102400"/>
    <n v="54174.46"/>
    <n v="48225.54"/>
    <s v="Cash"/>
    <x v="35"/>
    <n v="1"/>
    <n v="0.47095253906250001"/>
  </r>
  <r>
    <s v="ORD-00973"/>
    <d v="2025-10-09T00:00:00"/>
    <d v="2025-10-16T00:00:00"/>
    <s v="CUST-0129"/>
    <s v="Wulan Saputra"/>
    <s v="Consumer"/>
    <s v="Malang"/>
    <s v="Jawa Timur"/>
    <x v="2"/>
    <x v="0"/>
    <s v="Stationery"/>
    <s v="PROD-1004"/>
    <x v="10"/>
    <n v="5"/>
    <n v="26000"/>
    <n v="0.15"/>
    <n v="110500"/>
    <n v="62799.44"/>
    <n v="47700.56"/>
    <s v="Bank Transfer"/>
    <x v="27"/>
    <n v="7"/>
    <n v="0.43167927601809952"/>
  </r>
  <r>
    <s v="ORD-00974"/>
    <d v="2024-11-04T00:00:00"/>
    <d v="2024-11-08T00:00:00"/>
    <s v="CUST-0223"/>
    <s v="Yoga Lestari"/>
    <s v="Consumer"/>
    <s v="Surabaya"/>
    <s v="Jawa Timur"/>
    <x v="2"/>
    <x v="0"/>
    <s v="Binder"/>
    <s v="PROD-9396"/>
    <x v="21"/>
    <n v="4"/>
    <n v="38300"/>
    <n v="0.1"/>
    <n v="137880"/>
    <n v="74974.58"/>
    <n v="62905.42"/>
    <s v="Bank Transfer"/>
    <x v="2"/>
    <n v="4"/>
    <n v="0.45623310124746153"/>
  </r>
  <r>
    <s v="ORD-00975"/>
    <d v="2023-08-01T00:00:00"/>
    <d v="2023-08-08T00:00:00"/>
    <s v="CUST-0056"/>
    <s v="Toni Nugroho"/>
    <s v="Corporate"/>
    <s v="Medan"/>
    <s v="Sumatera Utara"/>
    <x v="1"/>
    <x v="0"/>
    <s v="Stationery"/>
    <s v="PROD-5388"/>
    <x v="18"/>
    <n v="3"/>
    <n v="125500"/>
    <n v="0.1"/>
    <n v="338850"/>
    <n v="205049.32"/>
    <n v="133800.68"/>
    <s v="Cash"/>
    <x v="0"/>
    <n v="7"/>
    <n v="0.39486699129408293"/>
  </r>
  <r>
    <s v="ORD-00976"/>
    <d v="2023-07-21T00:00:00"/>
    <d v="2023-07-26T00:00:00"/>
    <s v="CUST-0226"/>
    <s v="Bayu Kusuma"/>
    <s v="Corporate"/>
    <s v="Surabaya"/>
    <s v="Jawa Timur"/>
    <x v="2"/>
    <x v="2"/>
    <s v="Smartphone"/>
    <s v="PROD-6076"/>
    <x v="15"/>
    <n v="5"/>
    <n v="4972700"/>
    <n v="0"/>
    <n v="24863500"/>
    <n v="19283909.969999999"/>
    <n v="5579590.0300000003"/>
    <s v="Cash"/>
    <x v="13"/>
    <n v="5"/>
    <n v="0.22440887365012971"/>
  </r>
  <r>
    <s v="ORD-00977"/>
    <d v="2025-12-06T00:00:00"/>
    <d v="2025-12-07T00:00:00"/>
    <s v="CUST-0015"/>
    <s v="Farhan Kusuma"/>
    <s v="Consumer"/>
    <s v="Jakarta"/>
    <s v="DKI Jakarta"/>
    <x v="1"/>
    <x v="0"/>
    <s v="Stationery"/>
    <s v="PROD-1004"/>
    <x v="10"/>
    <n v="1"/>
    <n v="29900"/>
    <n v="0"/>
    <n v="29900"/>
    <n v="15671.99"/>
    <n v="14228.01"/>
    <s v="Credit Card"/>
    <x v="25"/>
    <n v="1"/>
    <n v="0.47585317725752507"/>
  </r>
  <r>
    <s v="ORD-00978"/>
    <d v="2024-06-03T00:00:00"/>
    <d v="2024-06-06T00:00:00"/>
    <s v="CUST-0135"/>
    <s v="Nabila Utami"/>
    <s v="Small Business"/>
    <s v="Surabaya"/>
    <s v="Jawa Timur"/>
    <x v="2"/>
    <x v="0"/>
    <s v="Binder"/>
    <s v="PROD-7352"/>
    <x v="16"/>
    <n v="1"/>
    <n v="60100"/>
    <n v="0.05"/>
    <n v="57095"/>
    <n v="33155.26"/>
    <n v="23939.74"/>
    <s v="Credit Card"/>
    <x v="35"/>
    <n v="3"/>
    <n v="0.4192966109116385"/>
  </r>
  <r>
    <s v="ORD-00979"/>
    <d v="2023-11-25T00:00:00"/>
    <d v="2023-11-27T00:00:00"/>
    <s v="CUST-0181"/>
    <s v="Vina Saputra"/>
    <s v="Corporate"/>
    <s v="Surabaya"/>
    <s v="Jawa Timur"/>
    <x v="2"/>
    <x v="1"/>
    <s v="Storage"/>
    <s v="PROD-7524"/>
    <x v="1"/>
    <n v="4"/>
    <n v="919100"/>
    <n v="0.05"/>
    <n v="3492580"/>
    <n v="2403836.42"/>
    <n v="1088743.58"/>
    <s v="E-Wallet"/>
    <x v="8"/>
    <n v="2"/>
    <n v="0.31173046286699235"/>
  </r>
  <r>
    <s v="ORD-00980"/>
    <d v="2024-04-11T00:00:00"/>
    <d v="2024-04-14T00:00:00"/>
    <s v="CUST-0249"/>
    <s v="Lina Permata"/>
    <s v="Corporate"/>
    <s v="Bandung"/>
    <s v="Jawa Barat"/>
    <x v="1"/>
    <x v="0"/>
    <s v="Paper"/>
    <s v="PROD-9601"/>
    <x v="9"/>
    <n v="3"/>
    <n v="79100"/>
    <n v="0.15"/>
    <n v="201705"/>
    <n v="134369.24"/>
    <n v="67335.759999999995"/>
    <s v="E-Wallet"/>
    <x v="1"/>
    <n v="3"/>
    <n v="0.33383287474281748"/>
  </r>
  <r>
    <s v="ORD-00981"/>
    <d v="2025-06-15T00:00:00"/>
    <d v="2025-06-18T00:00:00"/>
    <s v="CUST-0092"/>
    <s v="Maya Anggraini"/>
    <s v="Consumer"/>
    <s v="Surabaya"/>
    <s v="Jawa Timur"/>
    <x v="2"/>
    <x v="0"/>
    <s v="Writing"/>
    <s v="PROD-7527"/>
    <x v="5"/>
    <n v="3"/>
    <n v="49500"/>
    <n v="0.15"/>
    <n v="126225"/>
    <n v="78985.490000000005"/>
    <n v="47239.51"/>
    <s v="Credit Card"/>
    <x v="7"/>
    <n v="3"/>
    <n v="0.37424844523668055"/>
  </r>
  <r>
    <s v="ORD-00982"/>
    <d v="2023-06-05T00:00:00"/>
    <d v="2023-06-07T00:00:00"/>
    <s v="CUST-0151"/>
    <s v="Vina Anggraini"/>
    <s v="Consumer"/>
    <s v="Yogyakarta"/>
    <s v="DI Yogyakarta"/>
    <x v="0"/>
    <x v="2"/>
    <s v="Accessories"/>
    <s v="PROD-1626"/>
    <x v="20"/>
    <n v="2"/>
    <n v="227100"/>
    <n v="0.25"/>
    <n v="340650"/>
    <n v="262565.21999999997"/>
    <n v="78084.78"/>
    <s v="E-Wallet"/>
    <x v="9"/>
    <n v="2"/>
    <n v="0.22922289740202553"/>
  </r>
  <r>
    <s v="ORD-00983"/>
    <d v="2023-06-18T00:00:00"/>
    <d v="2023-06-21T00:00:00"/>
    <s v="CUST-0113"/>
    <s v="Hadi Siregar"/>
    <s v="Consumer"/>
    <s v="Jakarta"/>
    <s v="DKI Jakarta"/>
    <x v="1"/>
    <x v="0"/>
    <s v="Stationery"/>
    <s v="PROD-5388"/>
    <x v="18"/>
    <n v="3"/>
    <n v="110400"/>
    <n v="0.05"/>
    <n v="314640"/>
    <n v="199794.3"/>
    <n v="114845.7"/>
    <s v="Credit Card"/>
    <x v="9"/>
    <n v="3"/>
    <n v="0.36500667429443173"/>
  </r>
  <r>
    <s v="ORD-00984"/>
    <d v="2024-04-07T00:00:00"/>
    <d v="2024-04-11T00:00:00"/>
    <s v="CUST-0099"/>
    <s v="Nadia Wijaya"/>
    <s v="Consumer"/>
    <s v="Bogor"/>
    <s v="Jawa Barat"/>
    <x v="1"/>
    <x v="0"/>
    <s v="Writing"/>
    <s v="PROD-7529"/>
    <x v="0"/>
    <n v="8"/>
    <n v="74000"/>
    <n v="0.05"/>
    <n v="562400"/>
    <n v="321938.06"/>
    <n v="240461.94"/>
    <s v="Credit Card"/>
    <x v="1"/>
    <n v="4"/>
    <n v="0.42756390469416783"/>
  </r>
  <r>
    <s v="ORD-00985"/>
    <d v="2025-11-28T00:00:00"/>
    <d v="2025-12-03T00:00:00"/>
    <s v="CUST-0121"/>
    <s v="Kartika Saputra"/>
    <s v="Corporate"/>
    <s v="Malang"/>
    <s v="Jawa Timur"/>
    <x v="2"/>
    <x v="1"/>
    <s v="Storage"/>
    <s v="PROD-7524"/>
    <x v="1"/>
    <n v="4"/>
    <n v="938800"/>
    <n v="0.05"/>
    <n v="3567440"/>
    <n v="2724640.46"/>
    <n v="842799.54"/>
    <s v="E-Wallet"/>
    <x v="34"/>
    <n v="5"/>
    <n v="0.23624771264548247"/>
  </r>
  <r>
    <s v="ORD-00986"/>
    <d v="2025-01-01T00:00:00"/>
    <d v="2025-01-02T00:00:00"/>
    <s v="CUST-0260"/>
    <s v="Zahra Kusuma"/>
    <s v="Small Business"/>
    <s v="Surabaya"/>
    <s v="Jawa Timur"/>
    <x v="2"/>
    <x v="0"/>
    <s v="Writing"/>
    <s v="PROD-7527"/>
    <x v="5"/>
    <n v="4"/>
    <n v="46200"/>
    <n v="0"/>
    <n v="184800"/>
    <n v="102752.79"/>
    <n v="82047.210000000006"/>
    <s v="Credit Card"/>
    <x v="17"/>
    <n v="1"/>
    <n v="0.44397840909090913"/>
  </r>
  <r>
    <s v="ORD-00987"/>
    <d v="2024-10-04T00:00:00"/>
    <d v="2024-10-05T00:00:00"/>
    <s v="CUST-0255"/>
    <s v="Toni Hidayat"/>
    <s v="Corporate"/>
    <s v="Surabaya"/>
    <s v="Jawa Timur"/>
    <x v="2"/>
    <x v="0"/>
    <s v="Writing"/>
    <s v="PROD-7529"/>
    <x v="0"/>
    <n v="2"/>
    <n v="69800"/>
    <n v="0"/>
    <n v="139600"/>
    <n v="77679.05"/>
    <n v="61920.95"/>
    <s v="Credit Card"/>
    <x v="21"/>
    <n v="1"/>
    <n v="0.44355981375358167"/>
  </r>
  <r>
    <s v="ORD-00988"/>
    <d v="2023-05-13T00:00:00"/>
    <d v="2023-05-15T00:00:00"/>
    <s v="CUST-0142"/>
    <s v="Toni Lestari"/>
    <s v="Corporate"/>
    <s v="Medan"/>
    <s v="Sumatera Utara"/>
    <x v="1"/>
    <x v="2"/>
    <s v="Printer"/>
    <s v="PROD-5410"/>
    <x v="11"/>
    <n v="2"/>
    <n v="1530300"/>
    <n v="0"/>
    <n v="3060600"/>
    <n v="2194979.65"/>
    <n v="865620.35"/>
    <s v="E-Wallet"/>
    <x v="22"/>
    <n v="2"/>
    <n v="0.28282701104358621"/>
  </r>
  <r>
    <s v="ORD-00989"/>
    <d v="2023-02-26T00:00:00"/>
    <d v="2023-03-04T00:00:00"/>
    <s v="CUST-0120"/>
    <s v="Toni Utami"/>
    <s v="Small Business"/>
    <s v="Bogor"/>
    <s v="Jawa Barat"/>
    <x v="1"/>
    <x v="1"/>
    <s v="Desk"/>
    <s v="PROD-4040"/>
    <x v="7"/>
    <n v="3"/>
    <n v="3049700"/>
    <n v="0.1"/>
    <n v="8234190"/>
    <n v="6337802.5899999999"/>
    <n v="1896387.41"/>
    <s v="Credit Card"/>
    <x v="31"/>
    <n v="6"/>
    <n v="0.23030649159176556"/>
  </r>
  <r>
    <s v="ORD-00990"/>
    <d v="2025-11-06T00:00:00"/>
    <d v="2025-11-10T00:00:00"/>
    <s v="CUST-0033"/>
    <s v="Raka Hidayat"/>
    <s v="Small Business"/>
    <s v="Jakarta"/>
    <s v="DKI Jakarta"/>
    <x v="1"/>
    <x v="2"/>
    <s v="Accessories"/>
    <s v="PROD-4943"/>
    <x v="2"/>
    <n v="4"/>
    <n v="474700"/>
    <n v="0"/>
    <n v="1898800"/>
    <n v="1267970.6399999999"/>
    <n v="630829.36"/>
    <s v="Bank Transfer"/>
    <x v="34"/>
    <n v="4"/>
    <n v="0.33222527912365701"/>
  </r>
  <r>
    <s v="ORD-00991"/>
    <d v="2023-11-27T00:00:00"/>
    <d v="2023-12-03T00:00:00"/>
    <s v="CUST-0199"/>
    <s v="Rizky Hidayat"/>
    <s v="Consumer"/>
    <s v="Bogor"/>
    <s v="Jawa Barat"/>
    <x v="1"/>
    <x v="2"/>
    <s v="Smartphone"/>
    <s v="PROD-2176"/>
    <x v="17"/>
    <n v="4"/>
    <n v="3113600"/>
    <n v="0"/>
    <n v="12454400"/>
    <n v="9488649.4499999993"/>
    <n v="2965750.55"/>
    <s v="Cash"/>
    <x v="8"/>
    <n v="6"/>
    <n v="0.23812873763489206"/>
  </r>
  <r>
    <s v="ORD-00992"/>
    <d v="2025-02-19T00:00:00"/>
    <d v="2025-02-25T00:00:00"/>
    <s v="CUST-0134"/>
    <s v="Maya Putra"/>
    <s v="Consumer"/>
    <s v="Bogor"/>
    <s v="Jawa Barat"/>
    <x v="1"/>
    <x v="1"/>
    <s v="Desk"/>
    <s v="PROD-6903"/>
    <x v="13"/>
    <n v="1"/>
    <n v="1243300"/>
    <n v="0"/>
    <n v="1243300"/>
    <n v="801186.22"/>
    <n v="442113.78"/>
    <s v="E-Wallet"/>
    <x v="3"/>
    <n v="6"/>
    <n v="0.35559702404890214"/>
  </r>
  <r>
    <s v="ORD-00993"/>
    <d v="2024-04-09T00:00:00"/>
    <d v="2024-04-12T00:00:00"/>
    <s v="CUST-0031"/>
    <s v="Yoga Permata"/>
    <s v="Consumer"/>
    <s v="Surabaya"/>
    <s v="Jawa Timur"/>
    <x v="2"/>
    <x v="0"/>
    <s v="Paper"/>
    <s v="PROD-9601"/>
    <x v="9"/>
    <n v="2"/>
    <n v="68700"/>
    <n v="0.1"/>
    <n v="123660"/>
    <n v="85880.99"/>
    <n v="37779.01"/>
    <s v="Bank Transfer"/>
    <x v="1"/>
    <n v="3"/>
    <n v="0.30550711628659227"/>
  </r>
  <r>
    <s v="ORD-00994"/>
    <d v="2023-07-15T00:00:00"/>
    <d v="2023-07-17T00:00:00"/>
    <s v="CUST-0089"/>
    <s v="Gita Ramadhan"/>
    <s v="Consumer"/>
    <s v="Jakarta"/>
    <s v="DKI Jakarta"/>
    <x v="1"/>
    <x v="2"/>
    <s v="Laptop"/>
    <s v="PROD-7745"/>
    <x v="14"/>
    <n v="1"/>
    <n v="9012900"/>
    <n v="0.1"/>
    <n v="8111610"/>
    <n v="7463933.6699999999"/>
    <n v="647676.32999999996"/>
    <s v="E-Wallet"/>
    <x v="13"/>
    <n v="2"/>
    <n v="7.9845595387352197E-2"/>
  </r>
  <r>
    <s v="ORD-00995"/>
    <d v="2025-10-17T00:00:00"/>
    <d v="2025-10-19T00:00:00"/>
    <s v="CUST-0091"/>
    <s v="Raka Wijaya"/>
    <s v="Small Business"/>
    <s v="Bandung"/>
    <s v="Jawa Barat"/>
    <x v="1"/>
    <x v="1"/>
    <s v="Desk"/>
    <s v="PROD-6903"/>
    <x v="13"/>
    <n v="3"/>
    <n v="1282800"/>
    <n v="0.2"/>
    <n v="3078720"/>
    <n v="2686277.93"/>
    <n v="392442.07"/>
    <s v="Credit Card"/>
    <x v="27"/>
    <n v="2"/>
    <n v="0.12746923071925995"/>
  </r>
  <r>
    <s v="ORD-00996"/>
    <d v="2025-06-30T00:00:00"/>
    <d v="2025-07-01T00:00:00"/>
    <s v="CUST-0255"/>
    <s v="Gita Anggraini"/>
    <s v="Small Business"/>
    <s v="Yogyakarta"/>
    <s v="DI Yogyakarta"/>
    <x v="0"/>
    <x v="0"/>
    <s v="Paper"/>
    <s v="PROD-9601"/>
    <x v="9"/>
    <n v="2"/>
    <n v="71400"/>
    <n v="0.05"/>
    <n v="135660"/>
    <n v="88375.69"/>
    <n v="47284.31"/>
    <s v="Bank Transfer"/>
    <x v="7"/>
    <n v="1"/>
    <n v="0.34855012531328317"/>
  </r>
  <r>
    <s v="ORD-00997"/>
    <d v="2023-11-14T00:00:00"/>
    <d v="2023-11-19T00:00:00"/>
    <s v="CUST-0073"/>
    <s v="Hadi Nugroho"/>
    <s v="Small Business"/>
    <s v="Medan"/>
    <s v="Sumatera Utara"/>
    <x v="1"/>
    <x v="0"/>
    <s v="Stationery"/>
    <s v="PROD-5388"/>
    <x v="18"/>
    <n v="8"/>
    <n v="120400"/>
    <n v="0"/>
    <n v="963200"/>
    <n v="539146.43999999994"/>
    <n v="424053.56"/>
    <s v="Cash"/>
    <x v="8"/>
    <n v="5"/>
    <n v="0.4402549418604651"/>
  </r>
  <r>
    <s v="ORD-00998"/>
    <d v="2025-10-02T00:00:00"/>
    <d v="2025-10-04T00:00:00"/>
    <s v="CUST-0051"/>
    <s v="Bayu Saputra"/>
    <s v="Consumer"/>
    <s v="Surabaya"/>
    <s v="Jawa Timur"/>
    <x v="2"/>
    <x v="0"/>
    <s v="Paper"/>
    <s v="PROD-7955"/>
    <x v="8"/>
    <n v="5"/>
    <n v="63800"/>
    <n v="0.15"/>
    <n v="271150"/>
    <n v="185815.25"/>
    <n v="85334.75"/>
    <s v="Cash"/>
    <x v="27"/>
    <n v="2"/>
    <n v="0.3147141803429836"/>
  </r>
  <r>
    <s v="ORD-00999"/>
    <d v="2023-07-06T00:00:00"/>
    <d v="2023-07-12T00:00:00"/>
    <s v="CUST-0219"/>
    <s v="Maya Hidayat"/>
    <s v="Corporate"/>
    <s v="Medan"/>
    <s v="Sumatera Utara"/>
    <x v="1"/>
    <x v="0"/>
    <s v="Stationery"/>
    <s v="PROD-1004"/>
    <x v="10"/>
    <n v="2"/>
    <n v="27000"/>
    <n v="0"/>
    <n v="54000"/>
    <n v="28385.02"/>
    <n v="25614.98"/>
    <s v="E-Wallet"/>
    <x v="13"/>
    <n v="6"/>
    <n v="0.47435148148148149"/>
  </r>
  <r>
    <s v="ORD-01000"/>
    <d v="2025-02-11T00:00:00"/>
    <d v="2025-02-12T00:00:00"/>
    <s v="CUST-0029"/>
    <s v="Raka Nugroho"/>
    <s v="Consumer"/>
    <s v="Bandung"/>
    <s v="Jawa Barat"/>
    <x v="1"/>
    <x v="1"/>
    <s v="Desk"/>
    <s v="PROD-4040"/>
    <x v="7"/>
    <n v="3"/>
    <n v="3047000"/>
    <n v="0.3"/>
    <n v="6398700"/>
    <n v="6719891.0700000003"/>
    <n v="-321191.07"/>
    <s v="Cash"/>
    <x v="3"/>
    <n v="1"/>
    <n v="-5.0196300811102254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35EEC-4FDC-411A-862F-3E39C53C4B12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3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numFmtId="9" showAll="0"/>
  </pivotFields>
  <rowFields count="1">
    <field x="9"/>
  </rowFields>
  <rowItems count="4">
    <i>
      <x v="2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0" baseItem="0"/>
    <dataField name="Sum of quantity" fld="13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721D4-61B5-4032-95FB-8BEB5EECC2D1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3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numFmtId="9" showAll="0"/>
  </pivotFields>
  <rowFields count="1">
    <field x="9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F80C9-CE19-4FE2-868B-C0A635E9A9CD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3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numFmtId="9" showAll="0"/>
  </pivotFields>
  <rowFields count="1">
    <field x="8"/>
  </rowFields>
  <rowItems count="4">
    <i>
      <x v="1"/>
    </i>
    <i>
      <x v="2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3" baseField="0" baseItem="0"/>
    <dataField name="Sum of profit" fld="18" baseField="0" baseItem="0"/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A0A97-A13B-4C6A-80C7-E0A9A5A60EDB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0" firstHeaderRow="0" firstDataRow="1" firstDataCol="1"/>
  <pivotFields count="23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 sortType="descending">
      <items count="37">
        <item x="11"/>
        <item x="31"/>
        <item x="24"/>
        <item x="14"/>
        <item x="22"/>
        <item x="9"/>
        <item x="13"/>
        <item x="0"/>
        <item x="33"/>
        <item x="30"/>
        <item x="8"/>
        <item x="4"/>
        <item x="26"/>
        <item x="10"/>
        <item x="18"/>
        <item x="1"/>
        <item x="15"/>
        <item x="35"/>
        <item x="29"/>
        <item x="28"/>
        <item x="16"/>
        <item x="21"/>
        <item x="2"/>
        <item x="23"/>
        <item x="17"/>
        <item x="3"/>
        <item x="20"/>
        <item x="5"/>
        <item x="6"/>
        <item x="7"/>
        <item x="19"/>
        <item x="12"/>
        <item x="32"/>
        <item x="27"/>
        <item x="34"/>
        <item x="2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numFmtId="9" showAll="0"/>
  </pivotFields>
  <rowFields count="1">
    <field x="20"/>
  </rowFields>
  <rowItems count="37">
    <i>
      <x v="6"/>
    </i>
    <i>
      <x v="24"/>
    </i>
    <i>
      <x v="16"/>
    </i>
    <i>
      <x v="5"/>
    </i>
    <i>
      <x v="2"/>
    </i>
    <i>
      <x v="28"/>
    </i>
    <i>
      <x v="25"/>
    </i>
    <i>
      <x v="35"/>
    </i>
    <i>
      <x v="11"/>
    </i>
    <i>
      <x v="12"/>
    </i>
    <i>
      <x v="3"/>
    </i>
    <i>
      <x v="9"/>
    </i>
    <i>
      <x v="22"/>
    </i>
    <i>
      <x v="34"/>
    </i>
    <i>
      <x v="1"/>
    </i>
    <i>
      <x v="31"/>
    </i>
    <i>
      <x v="27"/>
    </i>
    <i>
      <x v="32"/>
    </i>
    <i>
      <x v="8"/>
    </i>
    <i>
      <x v="29"/>
    </i>
    <i>
      <x v="26"/>
    </i>
    <i>
      <x/>
    </i>
    <i>
      <x v="17"/>
    </i>
    <i>
      <x v="7"/>
    </i>
    <i>
      <x v="15"/>
    </i>
    <i>
      <x v="33"/>
    </i>
    <i>
      <x v="21"/>
    </i>
    <i>
      <x v="14"/>
    </i>
    <i>
      <x v="19"/>
    </i>
    <i>
      <x v="30"/>
    </i>
    <i>
      <x v="23"/>
    </i>
    <i>
      <x v="18"/>
    </i>
    <i>
      <x v="20"/>
    </i>
    <i>
      <x v="10"/>
    </i>
    <i>
      <x v="4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638A7-5743-4D1C-9806-373E822AB381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6" firstHeaderRow="0" firstDataRow="1" firstDataCol="1"/>
  <pivotFields count="23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3">
        <item x="8"/>
        <item x="17"/>
        <item x="15"/>
        <item x="5"/>
        <item x="3"/>
        <item x="14"/>
        <item x="18"/>
        <item x="16"/>
        <item x="19"/>
        <item x="1"/>
        <item x="11"/>
        <item x="0"/>
        <item x="2"/>
        <item x="13"/>
        <item x="9"/>
        <item x="21"/>
        <item x="7"/>
        <item x="10"/>
        <item x="12"/>
        <item x="6"/>
        <item x="2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numFmtId="9" showAll="0"/>
  </pivotFields>
  <rowFields count="1">
    <field x="12"/>
  </rowFields>
  <rowItems count="23">
    <i>
      <x v="5"/>
    </i>
    <i>
      <x v="18"/>
    </i>
    <i>
      <x v="2"/>
    </i>
    <i>
      <x v="16"/>
    </i>
    <i>
      <x v="1"/>
    </i>
    <i>
      <x v="8"/>
    </i>
    <i>
      <x v="10"/>
    </i>
    <i>
      <x v="13"/>
    </i>
    <i>
      <x v="9"/>
    </i>
    <i>
      <x v="4"/>
    </i>
    <i>
      <x v="19"/>
    </i>
    <i>
      <x v="12"/>
    </i>
    <i>
      <x v="20"/>
    </i>
    <i>
      <x v="21"/>
    </i>
    <i>
      <x v="6"/>
    </i>
    <i>
      <x v="14"/>
    </i>
    <i>
      <x v="7"/>
    </i>
    <i>
      <x/>
    </i>
    <i>
      <x v="11"/>
    </i>
    <i>
      <x v="3"/>
    </i>
    <i>
      <x v="17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0" baseItem="0"/>
    <dataField name="Sum of profit" fld="18" baseField="0" baseItem="0"/>
    <dataField name="Sum of 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5DB5F-7F60-4507-8A9F-ADB620AF06EF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6" firstHeaderRow="0" firstDataRow="1" firstDataCol="1"/>
  <pivotFields count="23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3">
        <item x="8"/>
        <item x="17"/>
        <item x="15"/>
        <item x="5"/>
        <item x="3"/>
        <item x="14"/>
        <item x="18"/>
        <item x="16"/>
        <item x="19"/>
        <item x="1"/>
        <item x="11"/>
        <item x="0"/>
        <item x="2"/>
        <item x="13"/>
        <item x="9"/>
        <item x="21"/>
        <item x="7"/>
        <item x="10"/>
        <item x="12"/>
        <item x="6"/>
        <item x="20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numFmtId="9" showAll="0"/>
  </pivotFields>
  <rowFields count="1">
    <field x="12"/>
  </rowFields>
  <rowItems count="23">
    <i>
      <x v="5"/>
    </i>
    <i>
      <x v="2"/>
    </i>
    <i>
      <x v="16"/>
    </i>
    <i>
      <x v="18"/>
    </i>
    <i>
      <x v="1"/>
    </i>
    <i>
      <x v="8"/>
    </i>
    <i>
      <x v="10"/>
    </i>
    <i>
      <x v="13"/>
    </i>
    <i>
      <x v="9"/>
    </i>
    <i>
      <x v="4"/>
    </i>
    <i>
      <x v="19"/>
    </i>
    <i>
      <x v="12"/>
    </i>
    <i>
      <x v="20"/>
    </i>
    <i>
      <x v="21"/>
    </i>
    <i>
      <x v="6"/>
    </i>
    <i>
      <x v="14"/>
    </i>
    <i>
      <x v="7"/>
    </i>
    <i>
      <x/>
    </i>
    <i>
      <x v="11"/>
    </i>
    <i>
      <x v="3"/>
    </i>
    <i>
      <x v="17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0" baseItem="0"/>
    <dataField name="Sum of profit" fld="18" baseField="0" baseItem="0"/>
    <dataField name="Sum of 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12D8-BF0D-45C6-9546-CE6B6D78B46E}">
  <dimension ref="A3:D7"/>
  <sheetViews>
    <sheetView workbookViewId="0">
      <selection activeCell="B4" sqref="B4"/>
    </sheetView>
  </sheetViews>
  <sheetFormatPr defaultRowHeight="14.5"/>
  <cols>
    <col min="1" max="1" width="13" bestFit="1" customWidth="1"/>
    <col min="2" max="2" width="11.36328125" bestFit="1" customWidth="1"/>
    <col min="3" max="3" width="14.08984375" bestFit="1" customWidth="1"/>
    <col min="4" max="4" width="11.81640625" bestFit="1" customWidth="1"/>
  </cols>
  <sheetData>
    <row r="3" spans="1:4">
      <c r="A3" s="3" t="s">
        <v>1789</v>
      </c>
      <c r="B3" t="s">
        <v>1791</v>
      </c>
      <c r="C3" t="s">
        <v>1793</v>
      </c>
      <c r="D3" t="s">
        <v>1792</v>
      </c>
    </row>
    <row r="4" spans="1:4">
      <c r="A4" s="4" t="s">
        <v>47</v>
      </c>
      <c r="B4" s="5">
        <v>2767296025</v>
      </c>
      <c r="C4" s="5">
        <v>1018</v>
      </c>
      <c r="D4" s="5">
        <v>402972855.87999964</v>
      </c>
    </row>
    <row r="5" spans="1:4">
      <c r="A5" s="4" t="s">
        <v>36</v>
      </c>
      <c r="B5" s="5">
        <v>1070922030</v>
      </c>
      <c r="C5" s="5">
        <v>786</v>
      </c>
      <c r="D5" s="5">
        <v>247787640.03</v>
      </c>
    </row>
    <row r="6" spans="1:4">
      <c r="A6" s="4" t="s">
        <v>27</v>
      </c>
      <c r="B6" s="5">
        <v>65810055</v>
      </c>
      <c r="C6" s="5">
        <v>1208</v>
      </c>
      <c r="D6" s="5">
        <v>26056312.819999997</v>
      </c>
    </row>
    <row r="7" spans="1:4">
      <c r="A7" s="4" t="s">
        <v>1790</v>
      </c>
      <c r="B7" s="5">
        <v>3904028110</v>
      </c>
      <c r="C7" s="5">
        <v>3012</v>
      </c>
      <c r="D7" s="5">
        <v>676816808.72999966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8FDC-A496-49C6-8593-4C05CBA103D0}">
  <dimension ref="A3:C7"/>
  <sheetViews>
    <sheetView workbookViewId="0">
      <selection activeCell="B4" sqref="B4"/>
    </sheetView>
  </sheetViews>
  <sheetFormatPr defaultRowHeight="14.5"/>
  <cols>
    <col min="1" max="1" width="13" bestFit="1" customWidth="1"/>
    <col min="2" max="2" width="11.36328125" bestFit="1" customWidth="1"/>
    <col min="3" max="3" width="11.81640625" bestFit="1" customWidth="1"/>
  </cols>
  <sheetData>
    <row r="3" spans="1:3">
      <c r="A3" s="3" t="s">
        <v>1789</v>
      </c>
      <c r="B3" t="s">
        <v>1791</v>
      </c>
      <c r="C3" t="s">
        <v>1792</v>
      </c>
    </row>
    <row r="4" spans="1:3">
      <c r="A4" s="4" t="s">
        <v>47</v>
      </c>
      <c r="B4" s="5">
        <v>2767296025</v>
      </c>
      <c r="C4" s="5">
        <v>402972855.87999964</v>
      </c>
    </row>
    <row r="5" spans="1:3">
      <c r="A5" s="4" t="s">
        <v>36</v>
      </c>
      <c r="B5" s="5">
        <v>1070922030</v>
      </c>
      <c r="C5" s="5">
        <v>247787640.03</v>
      </c>
    </row>
    <row r="6" spans="1:3">
      <c r="A6" s="4" t="s">
        <v>27</v>
      </c>
      <c r="B6" s="5">
        <v>65810055</v>
      </c>
      <c r="C6" s="5">
        <v>26056312.819999997</v>
      </c>
    </row>
    <row r="7" spans="1:3">
      <c r="A7" s="4" t="s">
        <v>1790</v>
      </c>
      <c r="B7" s="5">
        <v>3904028110</v>
      </c>
      <c r="C7" s="5">
        <v>676816808.72999966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893C-4B37-43AF-AE73-A2D4EC8D0CB8}">
  <dimension ref="A3:D7"/>
  <sheetViews>
    <sheetView workbookViewId="0">
      <selection activeCell="C4" sqref="C4"/>
    </sheetView>
  </sheetViews>
  <sheetFormatPr defaultRowHeight="14.5"/>
  <cols>
    <col min="1" max="1" width="12.453125" bestFit="1" customWidth="1"/>
    <col min="2" max="2" width="14.08984375" bestFit="1" customWidth="1"/>
    <col min="3" max="3" width="11.81640625" bestFit="1" customWidth="1"/>
    <col min="4" max="4" width="11.36328125" bestFit="1" customWidth="1"/>
  </cols>
  <sheetData>
    <row r="3" spans="1:4">
      <c r="A3" s="3" t="s">
        <v>1789</v>
      </c>
      <c r="B3" t="s">
        <v>1793</v>
      </c>
      <c r="C3" t="s">
        <v>1792</v>
      </c>
      <c r="D3" t="s">
        <v>1791</v>
      </c>
    </row>
    <row r="4" spans="1:4">
      <c r="A4" s="4" t="s">
        <v>57</v>
      </c>
      <c r="B4" s="5">
        <v>1271</v>
      </c>
      <c r="C4" s="5">
        <v>271795173.3599999</v>
      </c>
      <c r="D4" s="5">
        <v>1555678625</v>
      </c>
    </row>
    <row r="5" spans="1:4">
      <c r="A5" s="4" t="s">
        <v>46</v>
      </c>
      <c r="B5" s="5">
        <v>1134</v>
      </c>
      <c r="C5" s="5">
        <v>247605291.30999988</v>
      </c>
      <c r="D5" s="5">
        <v>1556504440</v>
      </c>
    </row>
    <row r="6" spans="1:4">
      <c r="A6" s="4" t="s">
        <v>26</v>
      </c>
      <c r="B6" s="5">
        <v>607</v>
      </c>
      <c r="C6" s="5">
        <v>157416344.06</v>
      </c>
      <c r="D6" s="5">
        <v>791845045</v>
      </c>
    </row>
    <row r="7" spans="1:4">
      <c r="A7" s="4" t="s">
        <v>1790</v>
      </c>
      <c r="B7" s="5">
        <v>3012</v>
      </c>
      <c r="C7" s="5">
        <v>676816808.72999978</v>
      </c>
      <c r="D7" s="5">
        <v>3904028110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31C3-184B-459E-9CCB-249DA6B5EBFC}">
  <dimension ref="A3:C40"/>
  <sheetViews>
    <sheetView workbookViewId="0">
      <selection activeCell="C4" sqref="C4"/>
    </sheetView>
  </sheetViews>
  <sheetFormatPr defaultRowHeight="14.5"/>
  <cols>
    <col min="1" max="1" width="12.453125" bestFit="1" customWidth="1"/>
    <col min="2" max="2" width="11.36328125" bestFit="1" customWidth="1"/>
    <col min="3" max="3" width="11.81640625" bestFit="1" customWidth="1"/>
  </cols>
  <sheetData>
    <row r="3" spans="1:3">
      <c r="A3" s="3" t="s">
        <v>1789</v>
      </c>
      <c r="B3" t="s">
        <v>1791</v>
      </c>
      <c r="C3" t="s">
        <v>1792</v>
      </c>
    </row>
    <row r="4" spans="1:3">
      <c r="A4" s="4" t="s">
        <v>1809</v>
      </c>
      <c r="B4" s="5">
        <v>144028040</v>
      </c>
      <c r="C4" s="5">
        <v>34570095.36999999</v>
      </c>
    </row>
    <row r="5" spans="1:3">
      <c r="A5" s="4" t="s">
        <v>1827</v>
      </c>
      <c r="B5" s="5">
        <v>168738990</v>
      </c>
      <c r="C5" s="5">
        <v>33163295.870000008</v>
      </c>
    </row>
    <row r="6" spans="1:3">
      <c r="A6" s="4" t="s">
        <v>1819</v>
      </c>
      <c r="B6" s="5">
        <v>191077545</v>
      </c>
      <c r="C6" s="5">
        <v>30191367.849999998</v>
      </c>
    </row>
    <row r="7" spans="1:3">
      <c r="A7" s="4" t="s">
        <v>1808</v>
      </c>
      <c r="B7" s="5">
        <v>180418665</v>
      </c>
      <c r="C7" s="5">
        <v>28895642.079999998</v>
      </c>
    </row>
    <row r="8" spans="1:3">
      <c r="A8" s="4" t="s">
        <v>1805</v>
      </c>
      <c r="B8" s="5">
        <v>187496280</v>
      </c>
      <c r="C8" s="5">
        <v>28776372.460000001</v>
      </c>
    </row>
    <row r="9" spans="1:3">
      <c r="A9" s="4" t="s">
        <v>1831</v>
      </c>
      <c r="B9" s="5">
        <v>142407085</v>
      </c>
      <c r="C9" s="5">
        <v>27913037.649999999</v>
      </c>
    </row>
    <row r="10" spans="1:3">
      <c r="A10" s="4" t="s">
        <v>1828</v>
      </c>
      <c r="B10" s="5">
        <v>229329440</v>
      </c>
      <c r="C10" s="5">
        <v>27698196.770000003</v>
      </c>
    </row>
    <row r="11" spans="1:3">
      <c r="A11" s="4" t="s">
        <v>1838</v>
      </c>
      <c r="B11" s="5">
        <v>109235060</v>
      </c>
      <c r="C11" s="5">
        <v>25949824.620000001</v>
      </c>
    </row>
    <row r="12" spans="1:3">
      <c r="A12" s="4" t="s">
        <v>1814</v>
      </c>
      <c r="B12" s="5">
        <v>108187025</v>
      </c>
      <c r="C12" s="5">
        <v>23461664.479999997</v>
      </c>
    </row>
    <row r="13" spans="1:3">
      <c r="A13" s="4" t="s">
        <v>1815</v>
      </c>
      <c r="B13" s="5">
        <v>108200050</v>
      </c>
      <c r="C13" s="5">
        <v>23354418.119999997</v>
      </c>
    </row>
    <row r="14" spans="1:3">
      <c r="A14" s="4" t="s">
        <v>1806</v>
      </c>
      <c r="B14" s="5">
        <v>119400225</v>
      </c>
      <c r="C14" s="5">
        <v>23213485.729999997</v>
      </c>
    </row>
    <row r="15" spans="1:3">
      <c r="A15" s="4" t="s">
        <v>1812</v>
      </c>
      <c r="B15" s="5">
        <v>115742630</v>
      </c>
      <c r="C15" s="5">
        <v>20642726.249999996</v>
      </c>
    </row>
    <row r="16" spans="1:3">
      <c r="A16" s="4" t="s">
        <v>1825</v>
      </c>
      <c r="B16" s="5">
        <v>113070690</v>
      </c>
      <c r="C16" s="5">
        <v>19397930.680000003</v>
      </c>
    </row>
    <row r="17" spans="1:3">
      <c r="A17" s="4" t="s">
        <v>1837</v>
      </c>
      <c r="B17" s="5">
        <v>152105765</v>
      </c>
      <c r="C17" s="5">
        <v>19288985.319999997</v>
      </c>
    </row>
    <row r="18" spans="1:3">
      <c r="A18" s="4" t="s">
        <v>1804</v>
      </c>
      <c r="B18" s="5">
        <v>114439235</v>
      </c>
      <c r="C18" s="5">
        <v>19008717.919999998</v>
      </c>
    </row>
    <row r="19" spans="1:3">
      <c r="A19" s="4" t="s">
        <v>1834</v>
      </c>
      <c r="B19" s="5">
        <v>81426000</v>
      </c>
      <c r="C19" s="5">
        <v>18949784.690000001</v>
      </c>
    </row>
    <row r="20" spans="1:3">
      <c r="A20" s="4" t="s">
        <v>1830</v>
      </c>
      <c r="B20" s="5">
        <v>90611160</v>
      </c>
      <c r="C20" s="5">
        <v>18877800.73</v>
      </c>
    </row>
    <row r="21" spans="1:3">
      <c r="A21" s="4" t="s">
        <v>1835</v>
      </c>
      <c r="B21" s="5">
        <v>87874360</v>
      </c>
      <c r="C21" s="5">
        <v>18399220.18</v>
      </c>
    </row>
    <row r="22" spans="1:3">
      <c r="A22" s="4" t="s">
        <v>1811</v>
      </c>
      <c r="B22" s="5">
        <v>80091865</v>
      </c>
      <c r="C22" s="5">
        <v>18155002.100000001</v>
      </c>
    </row>
    <row r="23" spans="1:3">
      <c r="A23" s="4" t="s">
        <v>1832</v>
      </c>
      <c r="B23" s="5">
        <v>104589665</v>
      </c>
      <c r="C23" s="5">
        <v>18060628.469999999</v>
      </c>
    </row>
    <row r="24" spans="1:3">
      <c r="A24" s="4" t="s">
        <v>1829</v>
      </c>
      <c r="B24" s="5">
        <v>95856855</v>
      </c>
      <c r="C24" s="5">
        <v>16570515.319999997</v>
      </c>
    </row>
    <row r="25" spans="1:3">
      <c r="A25" s="4" t="s">
        <v>1803</v>
      </c>
      <c r="B25" s="5">
        <v>108073590</v>
      </c>
      <c r="C25" s="5">
        <v>16513378.289999999</v>
      </c>
    </row>
    <row r="26" spans="1:3">
      <c r="A26" s="4" t="s">
        <v>1820</v>
      </c>
      <c r="B26" s="5">
        <v>106798410</v>
      </c>
      <c r="C26" s="5">
        <v>15418369.869999999</v>
      </c>
    </row>
    <row r="27" spans="1:3">
      <c r="A27" s="4" t="s">
        <v>1810</v>
      </c>
      <c r="B27" s="5">
        <v>97868620</v>
      </c>
      <c r="C27" s="5">
        <v>15110907.910000002</v>
      </c>
    </row>
    <row r="28" spans="1:3">
      <c r="A28" s="4" t="s">
        <v>1818</v>
      </c>
      <c r="B28" s="5">
        <v>82109105</v>
      </c>
      <c r="C28" s="5">
        <v>15024385.310000001</v>
      </c>
    </row>
    <row r="29" spans="1:3">
      <c r="A29" s="4" t="s">
        <v>1836</v>
      </c>
      <c r="B29" s="5">
        <v>89799030</v>
      </c>
      <c r="C29" s="5">
        <v>14202790.960000005</v>
      </c>
    </row>
    <row r="30" spans="1:3">
      <c r="A30" s="4" t="s">
        <v>1824</v>
      </c>
      <c r="B30" s="5">
        <v>82851700</v>
      </c>
      <c r="C30" s="5">
        <v>13672177.640000001</v>
      </c>
    </row>
    <row r="31" spans="1:3">
      <c r="A31" s="4" t="s">
        <v>1817</v>
      </c>
      <c r="B31" s="5">
        <v>167290265</v>
      </c>
      <c r="C31" s="5">
        <v>13607318.220000001</v>
      </c>
    </row>
    <row r="32" spans="1:3">
      <c r="A32" s="4" t="s">
        <v>1822</v>
      </c>
      <c r="B32" s="5">
        <v>62265755</v>
      </c>
      <c r="C32" s="5">
        <v>13291089.180000002</v>
      </c>
    </row>
    <row r="33" spans="1:3">
      <c r="A33" s="4" t="s">
        <v>1833</v>
      </c>
      <c r="B33" s="5">
        <v>85305820</v>
      </c>
      <c r="C33" s="5">
        <v>13188683.82</v>
      </c>
    </row>
    <row r="34" spans="1:3">
      <c r="A34" s="4" t="s">
        <v>1826</v>
      </c>
      <c r="B34" s="5">
        <v>62688395</v>
      </c>
      <c r="C34" s="5">
        <v>10279940.99</v>
      </c>
    </row>
    <row r="35" spans="1:3">
      <c r="A35" s="4" t="s">
        <v>1821</v>
      </c>
      <c r="B35" s="5">
        <v>49414720</v>
      </c>
      <c r="C35" s="5">
        <v>10164645.379999999</v>
      </c>
    </row>
    <row r="36" spans="1:3">
      <c r="A36" s="4" t="s">
        <v>1823</v>
      </c>
      <c r="B36" s="5">
        <v>49665090</v>
      </c>
      <c r="C36" s="5">
        <v>8735781.2600000016</v>
      </c>
    </row>
    <row r="37" spans="1:3">
      <c r="A37" s="4" t="s">
        <v>1813</v>
      </c>
      <c r="B37" s="5">
        <v>54049175</v>
      </c>
      <c r="C37" s="5">
        <v>8231871.75</v>
      </c>
    </row>
    <row r="38" spans="1:3">
      <c r="A38" s="4" t="s">
        <v>1807</v>
      </c>
      <c r="B38" s="5">
        <v>40080825</v>
      </c>
      <c r="C38" s="5">
        <v>7523421.3299999991</v>
      </c>
    </row>
    <row r="39" spans="1:3">
      <c r="A39" s="4" t="s">
        <v>1816</v>
      </c>
      <c r="B39" s="5">
        <v>41440980</v>
      </c>
      <c r="C39" s="5">
        <v>7313334.1600000011</v>
      </c>
    </row>
    <row r="40" spans="1:3">
      <c r="A40" s="4" t="s">
        <v>1790</v>
      </c>
      <c r="B40" s="5">
        <v>3904028110</v>
      </c>
      <c r="C40" s="5">
        <v>676816808.73000026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489C-E8D6-47DE-9736-7FED2588F9B2}">
  <dimension ref="A3:D26"/>
  <sheetViews>
    <sheetView topLeftCell="A3" workbookViewId="0">
      <selection activeCell="B9" sqref="B9"/>
    </sheetView>
  </sheetViews>
  <sheetFormatPr defaultRowHeight="14.5"/>
  <cols>
    <col min="1" max="1" width="23.1796875" bestFit="1" customWidth="1"/>
    <col min="2" max="2" width="11.36328125" bestFit="1" customWidth="1"/>
    <col min="3" max="3" width="11.81640625" bestFit="1" customWidth="1"/>
    <col min="4" max="4" width="14.08984375" bestFit="1" customWidth="1"/>
  </cols>
  <sheetData>
    <row r="3" spans="1:4">
      <c r="A3" s="3" t="s">
        <v>1789</v>
      </c>
      <c r="B3" t="s">
        <v>1791</v>
      </c>
      <c r="C3" t="s">
        <v>1792</v>
      </c>
      <c r="D3" t="s">
        <v>1793</v>
      </c>
    </row>
    <row r="4" spans="1:4">
      <c r="A4" s="4" t="s">
        <v>159</v>
      </c>
      <c r="B4" s="5">
        <v>862453340</v>
      </c>
      <c r="C4" s="5">
        <v>109434734.64999998</v>
      </c>
      <c r="D4" s="5">
        <v>115</v>
      </c>
    </row>
    <row r="5" spans="1:4">
      <c r="A5" s="4" t="s">
        <v>144</v>
      </c>
      <c r="B5" s="5">
        <v>702730740</v>
      </c>
      <c r="C5" s="5">
        <v>73934575.410000011</v>
      </c>
      <c r="D5" s="5">
        <v>126</v>
      </c>
    </row>
    <row r="6" spans="1:4">
      <c r="A6" s="4" t="s">
        <v>175</v>
      </c>
      <c r="B6" s="5">
        <v>536879155</v>
      </c>
      <c r="C6" s="5">
        <v>94656840.199999973</v>
      </c>
      <c r="D6" s="5">
        <v>123</v>
      </c>
    </row>
    <row r="7" spans="1:4">
      <c r="A7" s="4" t="s">
        <v>91</v>
      </c>
      <c r="B7" s="5">
        <v>447500910</v>
      </c>
      <c r="C7" s="5">
        <v>93662810.900000036</v>
      </c>
      <c r="D7" s="5">
        <v>158</v>
      </c>
    </row>
    <row r="8" spans="1:4">
      <c r="A8" s="4" t="s">
        <v>204</v>
      </c>
      <c r="B8" s="5">
        <v>409375485</v>
      </c>
      <c r="C8" s="5">
        <v>59719273.129999995</v>
      </c>
      <c r="D8" s="5">
        <v>140</v>
      </c>
    </row>
    <row r="9" spans="1:4">
      <c r="A9" s="4" t="s">
        <v>216</v>
      </c>
      <c r="B9" s="5">
        <v>198517145</v>
      </c>
      <c r="C9" s="5">
        <v>45896296.990000017</v>
      </c>
      <c r="D9" s="5">
        <v>124</v>
      </c>
    </row>
    <row r="10" spans="1:4">
      <c r="A10" s="4" t="s">
        <v>130</v>
      </c>
      <c r="B10" s="5">
        <v>162565800</v>
      </c>
      <c r="C10" s="5">
        <v>35071925.950000003</v>
      </c>
      <c r="D10" s="5">
        <v>119</v>
      </c>
    </row>
    <row r="11" spans="1:4">
      <c r="A11" s="4" t="s">
        <v>152</v>
      </c>
      <c r="B11" s="5">
        <v>131046150</v>
      </c>
      <c r="C11" s="5">
        <v>31856498.089999996</v>
      </c>
      <c r="D11" s="5">
        <v>114</v>
      </c>
    </row>
    <row r="12" spans="1:4">
      <c r="A12" s="4" t="s">
        <v>39</v>
      </c>
      <c r="B12" s="5">
        <v>113389690</v>
      </c>
      <c r="C12" s="5">
        <v>26595754.709999993</v>
      </c>
      <c r="D12" s="5">
        <v>126</v>
      </c>
    </row>
    <row r="13" spans="1:4">
      <c r="A13" s="4" t="s">
        <v>59</v>
      </c>
      <c r="B13" s="5">
        <v>93549525</v>
      </c>
      <c r="C13" s="5">
        <v>26557420.490000017</v>
      </c>
      <c r="D13" s="5">
        <v>116</v>
      </c>
    </row>
    <row r="14" spans="1:4">
      <c r="A14" s="4" t="s">
        <v>83</v>
      </c>
      <c r="B14" s="5">
        <v>86918610</v>
      </c>
      <c r="C14" s="5">
        <v>23218858.850000001</v>
      </c>
      <c r="D14" s="5">
        <v>148</v>
      </c>
    </row>
    <row r="15" spans="1:4">
      <c r="A15" s="4" t="s">
        <v>50</v>
      </c>
      <c r="B15" s="5">
        <v>43772990</v>
      </c>
      <c r="C15" s="5">
        <v>13624834.800000003</v>
      </c>
      <c r="D15" s="5">
        <v>96</v>
      </c>
    </row>
    <row r="16" spans="1:4">
      <c r="A16" s="4" t="s">
        <v>226</v>
      </c>
      <c r="B16" s="5">
        <v>33254540</v>
      </c>
      <c r="C16" s="5">
        <v>10686435.350000001</v>
      </c>
      <c r="D16" s="5">
        <v>161</v>
      </c>
    </row>
    <row r="17" spans="1:4">
      <c r="A17" s="4" t="s">
        <v>67</v>
      </c>
      <c r="B17" s="5">
        <v>16263975</v>
      </c>
      <c r="C17" s="5">
        <v>5844236.3900000006</v>
      </c>
      <c r="D17" s="5">
        <v>138</v>
      </c>
    </row>
    <row r="18" spans="1:4">
      <c r="A18" s="4" t="s">
        <v>208</v>
      </c>
      <c r="B18" s="5">
        <v>14247205</v>
      </c>
      <c r="C18" s="5">
        <v>5328417.0099999979</v>
      </c>
      <c r="D18" s="5">
        <v>135</v>
      </c>
    </row>
    <row r="19" spans="1:4">
      <c r="A19" s="4" t="s">
        <v>106</v>
      </c>
      <c r="B19" s="5">
        <v>11221165</v>
      </c>
      <c r="C19" s="5">
        <v>4043632.5199999991</v>
      </c>
      <c r="D19" s="5">
        <v>158</v>
      </c>
    </row>
    <row r="20" spans="1:4">
      <c r="A20" s="4" t="s">
        <v>181</v>
      </c>
      <c r="B20" s="5">
        <v>9246405</v>
      </c>
      <c r="C20" s="5">
        <v>3786939.4800000004</v>
      </c>
      <c r="D20" s="5">
        <v>178</v>
      </c>
    </row>
    <row r="21" spans="1:4">
      <c r="A21" s="4" t="s">
        <v>102</v>
      </c>
      <c r="B21" s="5">
        <v>8201460</v>
      </c>
      <c r="C21" s="5">
        <v>3136802.2900000005</v>
      </c>
      <c r="D21" s="5">
        <v>153</v>
      </c>
    </row>
    <row r="22" spans="1:4">
      <c r="A22" s="4" t="s">
        <v>30</v>
      </c>
      <c r="B22" s="5">
        <v>7733170</v>
      </c>
      <c r="C22" s="5">
        <v>3091294.0800000005</v>
      </c>
      <c r="D22" s="5">
        <v>123</v>
      </c>
    </row>
    <row r="23" spans="1:4">
      <c r="A23" s="4" t="s">
        <v>72</v>
      </c>
      <c r="B23" s="5">
        <v>6068280</v>
      </c>
      <c r="C23" s="5">
        <v>2571937.2800000003</v>
      </c>
      <c r="D23" s="5">
        <v>147</v>
      </c>
    </row>
    <row r="24" spans="1:4">
      <c r="A24" s="4" t="s">
        <v>118</v>
      </c>
      <c r="B24" s="5">
        <v>4750220</v>
      </c>
      <c r="C24" s="5">
        <v>2172429.7599999998</v>
      </c>
      <c r="D24" s="5">
        <v>189</v>
      </c>
    </row>
    <row r="25" spans="1:4">
      <c r="A25" s="4" t="s">
        <v>245</v>
      </c>
      <c r="B25" s="5">
        <v>4342150</v>
      </c>
      <c r="C25" s="5">
        <v>1924860.3999999997</v>
      </c>
      <c r="D25" s="5">
        <v>125</v>
      </c>
    </row>
    <row r="26" spans="1:4">
      <c r="A26" s="4" t="s">
        <v>1790</v>
      </c>
      <c r="B26" s="5">
        <v>3904028110</v>
      </c>
      <c r="C26" s="5">
        <v>676816808.7299999</v>
      </c>
      <c r="D26" s="5">
        <v>3012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B432-6EFF-42EC-B493-7D224D12E3E6}">
  <dimension ref="A3:D26"/>
  <sheetViews>
    <sheetView workbookViewId="0">
      <selection activeCell="C4" sqref="C4"/>
    </sheetView>
  </sheetViews>
  <sheetFormatPr defaultRowHeight="14.5"/>
  <cols>
    <col min="1" max="1" width="23.1796875" bestFit="1" customWidth="1"/>
    <col min="2" max="2" width="11.36328125" bestFit="1" customWidth="1"/>
    <col min="3" max="3" width="11.81640625" bestFit="1" customWidth="1"/>
    <col min="4" max="4" width="14.08984375" bestFit="1" customWidth="1"/>
  </cols>
  <sheetData>
    <row r="3" spans="1:4">
      <c r="A3" s="3" t="s">
        <v>1789</v>
      </c>
      <c r="B3" t="s">
        <v>1791</v>
      </c>
      <c r="C3" t="s">
        <v>1792</v>
      </c>
      <c r="D3" t="s">
        <v>1793</v>
      </c>
    </row>
    <row r="4" spans="1:4">
      <c r="A4" s="4" t="s">
        <v>159</v>
      </c>
      <c r="B4" s="5">
        <v>862453340</v>
      </c>
      <c r="C4" s="5">
        <v>109434734.64999998</v>
      </c>
      <c r="D4" s="5">
        <v>115</v>
      </c>
    </row>
    <row r="5" spans="1:4">
      <c r="A5" s="4" t="s">
        <v>175</v>
      </c>
      <c r="B5" s="5">
        <v>536879155</v>
      </c>
      <c r="C5" s="5">
        <v>94656840.199999973</v>
      </c>
      <c r="D5" s="5">
        <v>123</v>
      </c>
    </row>
    <row r="6" spans="1:4">
      <c r="A6" s="4" t="s">
        <v>91</v>
      </c>
      <c r="B6" s="5">
        <v>447500910</v>
      </c>
      <c r="C6" s="5">
        <v>93662810.900000036</v>
      </c>
      <c r="D6" s="5">
        <v>158</v>
      </c>
    </row>
    <row r="7" spans="1:4">
      <c r="A7" s="4" t="s">
        <v>144</v>
      </c>
      <c r="B7" s="5">
        <v>702730740</v>
      </c>
      <c r="C7" s="5">
        <v>73934575.410000011</v>
      </c>
      <c r="D7" s="5">
        <v>126</v>
      </c>
    </row>
    <row r="8" spans="1:4">
      <c r="A8" s="4" t="s">
        <v>204</v>
      </c>
      <c r="B8" s="5">
        <v>409375485</v>
      </c>
      <c r="C8" s="5">
        <v>59719273.129999995</v>
      </c>
      <c r="D8" s="5">
        <v>140</v>
      </c>
    </row>
    <row r="9" spans="1:4">
      <c r="A9" s="4" t="s">
        <v>216</v>
      </c>
      <c r="B9" s="5">
        <v>198517145</v>
      </c>
      <c r="C9" s="5">
        <v>45896296.990000017</v>
      </c>
      <c r="D9" s="5">
        <v>124</v>
      </c>
    </row>
    <row r="10" spans="1:4">
      <c r="A10" s="4" t="s">
        <v>130</v>
      </c>
      <c r="B10" s="5">
        <v>162565800</v>
      </c>
      <c r="C10" s="5">
        <v>35071925.950000003</v>
      </c>
      <c r="D10" s="5">
        <v>119</v>
      </c>
    </row>
    <row r="11" spans="1:4">
      <c r="A11" s="4" t="s">
        <v>152</v>
      </c>
      <c r="B11" s="5">
        <v>131046150</v>
      </c>
      <c r="C11" s="5">
        <v>31856498.089999996</v>
      </c>
      <c r="D11" s="5">
        <v>114</v>
      </c>
    </row>
    <row r="12" spans="1:4">
      <c r="A12" s="4" t="s">
        <v>39</v>
      </c>
      <c r="B12" s="5">
        <v>113389690</v>
      </c>
      <c r="C12" s="5">
        <v>26595754.709999993</v>
      </c>
      <c r="D12" s="5">
        <v>126</v>
      </c>
    </row>
    <row r="13" spans="1:4">
      <c r="A13" s="4" t="s">
        <v>59</v>
      </c>
      <c r="B13" s="5">
        <v>93549525</v>
      </c>
      <c r="C13" s="5">
        <v>26557420.490000017</v>
      </c>
      <c r="D13" s="5">
        <v>116</v>
      </c>
    </row>
    <row r="14" spans="1:4">
      <c r="A14" s="4" t="s">
        <v>83</v>
      </c>
      <c r="B14" s="5">
        <v>86918610</v>
      </c>
      <c r="C14" s="5">
        <v>23218858.850000001</v>
      </c>
      <c r="D14" s="5">
        <v>148</v>
      </c>
    </row>
    <row r="15" spans="1:4">
      <c r="A15" s="4" t="s">
        <v>50</v>
      </c>
      <c r="B15" s="5">
        <v>43772990</v>
      </c>
      <c r="C15" s="5">
        <v>13624834.800000003</v>
      </c>
      <c r="D15" s="5">
        <v>96</v>
      </c>
    </row>
    <row r="16" spans="1:4">
      <c r="A16" s="4" t="s">
        <v>226</v>
      </c>
      <c r="B16" s="5">
        <v>33254540</v>
      </c>
      <c r="C16" s="5">
        <v>10686435.350000001</v>
      </c>
      <c r="D16" s="5">
        <v>161</v>
      </c>
    </row>
    <row r="17" spans="1:4">
      <c r="A17" s="4" t="s">
        <v>67</v>
      </c>
      <c r="B17" s="5">
        <v>16263975</v>
      </c>
      <c r="C17" s="5">
        <v>5844236.3900000006</v>
      </c>
      <c r="D17" s="5">
        <v>138</v>
      </c>
    </row>
    <row r="18" spans="1:4">
      <c r="A18" s="4" t="s">
        <v>208</v>
      </c>
      <c r="B18" s="5">
        <v>14247205</v>
      </c>
      <c r="C18" s="5">
        <v>5328417.0099999979</v>
      </c>
      <c r="D18" s="5">
        <v>135</v>
      </c>
    </row>
    <row r="19" spans="1:4">
      <c r="A19" s="4" t="s">
        <v>106</v>
      </c>
      <c r="B19" s="5">
        <v>11221165</v>
      </c>
      <c r="C19" s="5">
        <v>4043632.5199999991</v>
      </c>
      <c r="D19" s="5">
        <v>158</v>
      </c>
    </row>
    <row r="20" spans="1:4">
      <c r="A20" s="4" t="s">
        <v>181</v>
      </c>
      <c r="B20" s="5">
        <v>9246405</v>
      </c>
      <c r="C20" s="5">
        <v>3786939.4800000004</v>
      </c>
      <c r="D20" s="5">
        <v>178</v>
      </c>
    </row>
    <row r="21" spans="1:4">
      <c r="A21" s="4" t="s">
        <v>102</v>
      </c>
      <c r="B21" s="5">
        <v>8201460</v>
      </c>
      <c r="C21" s="5">
        <v>3136802.2900000005</v>
      </c>
      <c r="D21" s="5">
        <v>153</v>
      </c>
    </row>
    <row r="22" spans="1:4">
      <c r="A22" s="4" t="s">
        <v>30</v>
      </c>
      <c r="B22" s="5">
        <v>7733170</v>
      </c>
      <c r="C22" s="5">
        <v>3091294.0800000005</v>
      </c>
      <c r="D22" s="5">
        <v>123</v>
      </c>
    </row>
    <row r="23" spans="1:4">
      <c r="A23" s="4" t="s">
        <v>72</v>
      </c>
      <c r="B23" s="5">
        <v>6068280</v>
      </c>
      <c r="C23" s="5">
        <v>2571937.2800000003</v>
      </c>
      <c r="D23" s="5">
        <v>147</v>
      </c>
    </row>
    <row r="24" spans="1:4">
      <c r="A24" s="4" t="s">
        <v>118</v>
      </c>
      <c r="B24" s="5">
        <v>4750220</v>
      </c>
      <c r="C24" s="5">
        <v>2172429.7599999998</v>
      </c>
      <c r="D24" s="5">
        <v>189</v>
      </c>
    </row>
    <row r="25" spans="1:4">
      <c r="A25" s="4" t="s">
        <v>245</v>
      </c>
      <c r="B25" s="5">
        <v>4342150</v>
      </c>
      <c r="C25" s="5">
        <v>1924860.3999999997</v>
      </c>
      <c r="D25" s="5">
        <v>125</v>
      </c>
    </row>
    <row r="26" spans="1:4">
      <c r="A26" s="4" t="s">
        <v>1790</v>
      </c>
      <c r="B26" s="5">
        <v>3904028110</v>
      </c>
      <c r="C26" s="5">
        <v>676816808.7299999</v>
      </c>
      <c r="D26" s="5">
        <v>3012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52EE-3403-444A-8486-8CEFDDBFED3C}">
  <dimension ref="A1:W1001"/>
  <sheetViews>
    <sheetView workbookViewId="0"/>
  </sheetViews>
  <sheetFormatPr defaultRowHeight="14.5"/>
  <cols>
    <col min="20" max="20" width="21.26953125" customWidth="1"/>
    <col min="21" max="21" width="11.54296875" customWidth="1"/>
    <col min="22" max="22" width="13.81640625" customWidth="1"/>
    <col min="23" max="23" width="13.81640625" style="2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1762</v>
      </c>
      <c r="V1" t="s">
        <v>1763</v>
      </c>
      <c r="W1" s="2" t="s">
        <v>1764</v>
      </c>
    </row>
    <row r="2" spans="1:23">
      <c r="A2" t="s">
        <v>20</v>
      </c>
      <c r="B2" s="1">
        <v>45155</v>
      </c>
      <c r="C2" s="1">
        <v>45156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3</v>
      </c>
      <c r="O2">
        <v>74500</v>
      </c>
      <c r="P2">
        <v>0</v>
      </c>
      <c r="Q2">
        <v>223500</v>
      </c>
      <c r="R2">
        <v>121275.33</v>
      </c>
      <c r="S2">
        <v>102224.67</v>
      </c>
      <c r="T2" t="s">
        <v>31</v>
      </c>
      <c r="U2" t="str">
        <f>TEXT(B2,"yyyy-mm")</f>
        <v>2023-08</v>
      </c>
      <c r="V2">
        <f>C2-B2</f>
        <v>1</v>
      </c>
      <c r="W2" s="2">
        <f>IF(Q2=0,0,S2/Q2)</f>
        <v>0.45738107382550336</v>
      </c>
    </row>
    <row r="3" spans="1:23">
      <c r="A3" t="s">
        <v>32</v>
      </c>
      <c r="B3" s="1">
        <v>45403</v>
      </c>
      <c r="C3" s="1">
        <v>45408</v>
      </c>
      <c r="D3" t="s">
        <v>33</v>
      </c>
      <c r="E3" t="s">
        <v>34</v>
      </c>
      <c r="F3" t="s">
        <v>35</v>
      </c>
      <c r="G3" t="s">
        <v>24</v>
      </c>
      <c r="H3" t="s">
        <v>25</v>
      </c>
      <c r="I3" t="s">
        <v>26</v>
      </c>
      <c r="J3" t="s">
        <v>36</v>
      </c>
      <c r="K3" t="s">
        <v>37</v>
      </c>
      <c r="L3" t="s">
        <v>38</v>
      </c>
      <c r="M3" t="s">
        <v>39</v>
      </c>
      <c r="N3">
        <v>1</v>
      </c>
      <c r="O3">
        <v>1009000</v>
      </c>
      <c r="P3">
        <v>0.15</v>
      </c>
      <c r="Q3">
        <v>857650</v>
      </c>
      <c r="R3">
        <v>652393.66</v>
      </c>
      <c r="S3">
        <v>205256.34</v>
      </c>
      <c r="T3" t="s">
        <v>40</v>
      </c>
      <c r="U3" t="str">
        <f t="shared" ref="U3:U66" si="0">TEXT(B3,"yyyy-mm")</f>
        <v>2024-04</v>
      </c>
      <c r="V3">
        <f t="shared" ref="V3:V66" si="1">C3-B3</f>
        <v>5</v>
      </c>
      <c r="W3" s="2">
        <f t="shared" ref="W3:W66" si="2">IF(Q3=0,0,S3/Q3)</f>
        <v>0.23932412988981519</v>
      </c>
    </row>
    <row r="4" spans="1:23">
      <c r="A4" t="s">
        <v>41</v>
      </c>
      <c r="B4" s="1">
        <v>45623</v>
      </c>
      <c r="C4" s="1">
        <v>45626</v>
      </c>
      <c r="D4" t="s">
        <v>42</v>
      </c>
      <c r="E4" t="s">
        <v>43</v>
      </c>
      <c r="F4" t="s">
        <v>23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>
        <v>2</v>
      </c>
      <c r="O4">
        <v>473200</v>
      </c>
      <c r="P4">
        <v>0</v>
      </c>
      <c r="Q4">
        <v>946400</v>
      </c>
      <c r="R4">
        <v>560743.99</v>
      </c>
      <c r="S4">
        <v>385656.01</v>
      </c>
      <c r="T4" t="s">
        <v>31</v>
      </c>
      <c r="U4" t="str">
        <f t="shared" si="0"/>
        <v>2024-11</v>
      </c>
      <c r="V4">
        <f t="shared" si="1"/>
        <v>3</v>
      </c>
      <c r="W4" s="2">
        <f t="shared" si="2"/>
        <v>0.40749789729501268</v>
      </c>
    </row>
    <row r="5" spans="1:23">
      <c r="A5" t="s">
        <v>51</v>
      </c>
      <c r="B5" s="1">
        <v>45702</v>
      </c>
      <c r="C5" s="1">
        <v>45703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36</v>
      </c>
      <c r="K5" t="s">
        <v>37</v>
      </c>
      <c r="L5" t="s">
        <v>58</v>
      </c>
      <c r="M5" t="s">
        <v>59</v>
      </c>
      <c r="N5">
        <v>3</v>
      </c>
      <c r="O5">
        <v>917900</v>
      </c>
      <c r="P5">
        <v>0</v>
      </c>
      <c r="Q5">
        <v>2753700</v>
      </c>
      <c r="R5">
        <v>1753438.86</v>
      </c>
      <c r="S5">
        <v>1000261.14</v>
      </c>
      <c r="T5" t="s">
        <v>60</v>
      </c>
      <c r="U5" t="str">
        <f t="shared" si="0"/>
        <v>2025-02</v>
      </c>
      <c r="V5">
        <f t="shared" si="1"/>
        <v>1</v>
      </c>
      <c r="W5" s="2">
        <f t="shared" si="2"/>
        <v>0.36324259723281405</v>
      </c>
    </row>
    <row r="6" spans="1:23">
      <c r="A6" t="s">
        <v>61</v>
      </c>
      <c r="B6" s="1">
        <v>45403</v>
      </c>
      <c r="C6" s="1">
        <v>45410</v>
      </c>
      <c r="D6" t="s">
        <v>62</v>
      </c>
      <c r="E6" t="s">
        <v>63</v>
      </c>
      <c r="F6" t="s">
        <v>35</v>
      </c>
      <c r="G6" t="s">
        <v>64</v>
      </c>
      <c r="H6" t="s">
        <v>65</v>
      </c>
      <c r="I6" t="s">
        <v>57</v>
      </c>
      <c r="J6" t="s">
        <v>47</v>
      </c>
      <c r="K6" t="s">
        <v>48</v>
      </c>
      <c r="L6" t="s">
        <v>66</v>
      </c>
      <c r="M6" t="s">
        <v>67</v>
      </c>
      <c r="N6">
        <v>1</v>
      </c>
      <c r="O6">
        <v>122300</v>
      </c>
      <c r="P6">
        <v>0.1</v>
      </c>
      <c r="Q6">
        <v>110070</v>
      </c>
      <c r="R6">
        <v>73859.08</v>
      </c>
      <c r="S6">
        <v>36210.92</v>
      </c>
      <c r="T6" t="s">
        <v>60</v>
      </c>
      <c r="U6" t="str">
        <f t="shared" si="0"/>
        <v>2024-04</v>
      </c>
      <c r="V6">
        <f t="shared" si="1"/>
        <v>7</v>
      </c>
      <c r="W6" s="2">
        <f t="shared" si="2"/>
        <v>0.32898083038066683</v>
      </c>
    </row>
    <row r="7" spans="1:23">
      <c r="A7" t="s">
        <v>68</v>
      </c>
      <c r="B7" s="1">
        <v>45277</v>
      </c>
      <c r="C7" s="1">
        <v>45282</v>
      </c>
      <c r="D7" t="s">
        <v>69</v>
      </c>
      <c r="E7" t="s">
        <v>70</v>
      </c>
      <c r="F7" t="s">
        <v>23</v>
      </c>
      <c r="G7" t="s">
        <v>64</v>
      </c>
      <c r="H7" t="s">
        <v>65</v>
      </c>
      <c r="I7" t="s">
        <v>57</v>
      </c>
      <c r="J7" t="s">
        <v>27</v>
      </c>
      <c r="K7" t="s">
        <v>28</v>
      </c>
      <c r="L7" t="s">
        <v>71</v>
      </c>
      <c r="M7" t="s">
        <v>72</v>
      </c>
      <c r="N7">
        <v>3</v>
      </c>
      <c r="O7">
        <v>48800</v>
      </c>
      <c r="P7">
        <v>0.15</v>
      </c>
      <c r="Q7">
        <v>124440</v>
      </c>
      <c r="R7">
        <v>74588.41</v>
      </c>
      <c r="S7">
        <v>49851.59</v>
      </c>
      <c r="T7" t="s">
        <v>73</v>
      </c>
      <c r="U7" t="str">
        <f t="shared" si="0"/>
        <v>2023-12</v>
      </c>
      <c r="V7">
        <f t="shared" si="1"/>
        <v>5</v>
      </c>
      <c r="W7" s="2">
        <f t="shared" si="2"/>
        <v>0.40060744133719056</v>
      </c>
    </row>
    <row r="8" spans="1:23">
      <c r="A8" t="s">
        <v>74</v>
      </c>
      <c r="B8" s="1">
        <v>45748</v>
      </c>
      <c r="C8" s="1">
        <v>45751</v>
      </c>
      <c r="D8" t="s">
        <v>75</v>
      </c>
      <c r="E8" t="s">
        <v>76</v>
      </c>
      <c r="F8" t="s">
        <v>35</v>
      </c>
      <c r="G8" t="s">
        <v>24</v>
      </c>
      <c r="H8" t="s">
        <v>25</v>
      </c>
      <c r="I8" t="s">
        <v>26</v>
      </c>
      <c r="J8" t="s">
        <v>47</v>
      </c>
      <c r="K8" t="s">
        <v>48</v>
      </c>
      <c r="L8" t="s">
        <v>49</v>
      </c>
      <c r="M8" t="s">
        <v>50</v>
      </c>
      <c r="N8">
        <v>5</v>
      </c>
      <c r="O8">
        <v>505100</v>
      </c>
      <c r="P8">
        <v>0</v>
      </c>
      <c r="Q8">
        <v>2525500</v>
      </c>
      <c r="R8">
        <v>1515941.99</v>
      </c>
      <c r="S8">
        <v>1009558.01</v>
      </c>
      <c r="T8" t="s">
        <v>40</v>
      </c>
      <c r="U8" t="str">
        <f t="shared" si="0"/>
        <v>2025-04</v>
      </c>
      <c r="V8">
        <f t="shared" si="1"/>
        <v>3</v>
      </c>
      <c r="W8" s="2">
        <f t="shared" si="2"/>
        <v>0.39974579687190653</v>
      </c>
    </row>
    <row r="9" spans="1:23">
      <c r="A9" t="s">
        <v>77</v>
      </c>
      <c r="B9" s="1">
        <v>45804</v>
      </c>
      <c r="C9" s="1">
        <v>45809</v>
      </c>
      <c r="D9" t="s">
        <v>78</v>
      </c>
      <c r="E9" t="s">
        <v>79</v>
      </c>
      <c r="F9" t="s">
        <v>23</v>
      </c>
      <c r="G9" t="s">
        <v>80</v>
      </c>
      <c r="H9" t="s">
        <v>45</v>
      </c>
      <c r="I9" t="s">
        <v>46</v>
      </c>
      <c r="J9" t="s">
        <v>36</v>
      </c>
      <c r="K9" t="s">
        <v>81</v>
      </c>
      <c r="L9" t="s">
        <v>82</v>
      </c>
      <c r="M9" t="s">
        <v>83</v>
      </c>
      <c r="N9">
        <v>4</v>
      </c>
      <c r="O9">
        <v>708100</v>
      </c>
      <c r="P9">
        <v>0</v>
      </c>
      <c r="Q9">
        <v>2832400</v>
      </c>
      <c r="R9">
        <v>1759799.87</v>
      </c>
      <c r="S9">
        <v>1072600.1299999999</v>
      </c>
      <c r="T9" t="s">
        <v>31</v>
      </c>
      <c r="U9" t="str">
        <f t="shared" si="0"/>
        <v>2025-05</v>
      </c>
      <c r="V9">
        <f t="shared" si="1"/>
        <v>5</v>
      </c>
      <c r="W9" s="2">
        <f t="shared" si="2"/>
        <v>0.3786894965400367</v>
      </c>
    </row>
    <row r="10" spans="1:23">
      <c r="A10" t="s">
        <v>84</v>
      </c>
      <c r="B10" s="1">
        <v>45715</v>
      </c>
      <c r="C10" s="1">
        <v>45719</v>
      </c>
      <c r="D10" t="s">
        <v>85</v>
      </c>
      <c r="E10" t="s">
        <v>86</v>
      </c>
      <c r="F10" t="s">
        <v>23</v>
      </c>
      <c r="G10" t="s">
        <v>87</v>
      </c>
      <c r="H10" t="s">
        <v>88</v>
      </c>
      <c r="I10" t="s">
        <v>46</v>
      </c>
      <c r="J10" t="s">
        <v>36</v>
      </c>
      <c r="K10" t="s">
        <v>89</v>
      </c>
      <c r="L10" t="s">
        <v>90</v>
      </c>
      <c r="M10" t="s">
        <v>91</v>
      </c>
      <c r="N10">
        <v>3</v>
      </c>
      <c r="O10">
        <v>2914400</v>
      </c>
      <c r="P10">
        <v>0.2</v>
      </c>
      <c r="Q10">
        <v>6994560</v>
      </c>
      <c r="R10">
        <v>6411649.7999999998</v>
      </c>
      <c r="S10">
        <v>582910.19999999995</v>
      </c>
      <c r="T10" t="s">
        <v>31</v>
      </c>
      <c r="U10" t="str">
        <f t="shared" si="0"/>
        <v>2025-02</v>
      </c>
      <c r="V10">
        <f t="shared" si="1"/>
        <v>4</v>
      </c>
      <c r="W10" s="2">
        <f t="shared" si="2"/>
        <v>8.3337650974471586E-2</v>
      </c>
    </row>
    <row r="11" spans="1:23">
      <c r="A11" t="s">
        <v>92</v>
      </c>
      <c r="B11" s="1">
        <v>45817</v>
      </c>
      <c r="C11" s="1">
        <v>45819</v>
      </c>
      <c r="D11" t="s">
        <v>93</v>
      </c>
      <c r="E11" t="s">
        <v>94</v>
      </c>
      <c r="F11" t="s">
        <v>54</v>
      </c>
      <c r="G11" t="s">
        <v>95</v>
      </c>
      <c r="H11" t="s">
        <v>96</v>
      </c>
      <c r="I11" t="s">
        <v>26</v>
      </c>
      <c r="J11" t="s">
        <v>36</v>
      </c>
      <c r="K11" t="s">
        <v>37</v>
      </c>
      <c r="L11" t="s">
        <v>58</v>
      </c>
      <c r="M11" t="s">
        <v>59</v>
      </c>
      <c r="N11">
        <v>2</v>
      </c>
      <c r="O11">
        <v>803400</v>
      </c>
      <c r="P11">
        <v>0.1</v>
      </c>
      <c r="Q11">
        <v>1446120</v>
      </c>
      <c r="R11">
        <v>1106476.32</v>
      </c>
      <c r="S11">
        <v>339643.68</v>
      </c>
      <c r="T11" t="s">
        <v>73</v>
      </c>
      <c r="U11" t="str">
        <f t="shared" si="0"/>
        <v>2025-06</v>
      </c>
      <c r="V11">
        <f t="shared" si="1"/>
        <v>2</v>
      </c>
      <c r="W11" s="2">
        <f t="shared" si="2"/>
        <v>0.23486548834121648</v>
      </c>
    </row>
    <row r="12" spans="1:23">
      <c r="A12" t="s">
        <v>97</v>
      </c>
      <c r="B12" s="1">
        <v>45240</v>
      </c>
      <c r="C12" s="1">
        <v>45243</v>
      </c>
      <c r="D12" t="s">
        <v>98</v>
      </c>
      <c r="E12" t="s">
        <v>99</v>
      </c>
      <c r="F12" t="s">
        <v>23</v>
      </c>
      <c r="G12" t="s">
        <v>55</v>
      </c>
      <c r="H12" t="s">
        <v>56</v>
      </c>
      <c r="I12" t="s">
        <v>57</v>
      </c>
      <c r="J12" t="s">
        <v>27</v>
      </c>
      <c r="K12" t="s">
        <v>100</v>
      </c>
      <c r="L12" t="s">
        <v>101</v>
      </c>
      <c r="M12" t="s">
        <v>102</v>
      </c>
      <c r="N12">
        <v>1</v>
      </c>
      <c r="O12">
        <v>56800</v>
      </c>
      <c r="P12">
        <v>0.3</v>
      </c>
      <c r="Q12">
        <v>39760</v>
      </c>
      <c r="R12">
        <v>32954.47</v>
      </c>
      <c r="S12">
        <v>6805.53</v>
      </c>
      <c r="T12" t="s">
        <v>31</v>
      </c>
      <c r="U12" t="str">
        <f t="shared" si="0"/>
        <v>2023-11</v>
      </c>
      <c r="V12">
        <f t="shared" si="1"/>
        <v>3</v>
      </c>
      <c r="W12" s="2">
        <f t="shared" si="2"/>
        <v>0.17116524144869213</v>
      </c>
    </row>
    <row r="13" spans="1:23">
      <c r="A13" t="s">
        <v>103</v>
      </c>
      <c r="B13" s="1">
        <v>45088</v>
      </c>
      <c r="C13" s="1">
        <v>45089</v>
      </c>
      <c r="D13" t="s">
        <v>78</v>
      </c>
      <c r="E13" t="s">
        <v>104</v>
      </c>
      <c r="F13" t="s">
        <v>35</v>
      </c>
      <c r="G13" t="s">
        <v>87</v>
      </c>
      <c r="H13" t="s">
        <v>88</v>
      </c>
      <c r="I13" t="s">
        <v>46</v>
      </c>
      <c r="J13" t="s">
        <v>27</v>
      </c>
      <c r="K13" t="s">
        <v>100</v>
      </c>
      <c r="L13" t="s">
        <v>105</v>
      </c>
      <c r="M13" t="s">
        <v>106</v>
      </c>
      <c r="N13">
        <v>3</v>
      </c>
      <c r="O13">
        <v>84200</v>
      </c>
      <c r="P13">
        <v>0</v>
      </c>
      <c r="Q13">
        <v>252600</v>
      </c>
      <c r="R13">
        <v>149232.70000000001</v>
      </c>
      <c r="S13">
        <v>103367.3</v>
      </c>
      <c r="T13" t="s">
        <v>73</v>
      </c>
      <c r="U13" t="str">
        <f t="shared" si="0"/>
        <v>2023-06</v>
      </c>
      <c r="V13">
        <f t="shared" si="1"/>
        <v>1</v>
      </c>
      <c r="W13" s="2">
        <f t="shared" si="2"/>
        <v>0.40921338083927161</v>
      </c>
    </row>
    <row r="14" spans="1:23">
      <c r="A14" t="s">
        <v>107</v>
      </c>
      <c r="B14" s="1">
        <v>45338</v>
      </c>
      <c r="C14" s="1">
        <v>45344</v>
      </c>
      <c r="D14" t="s">
        <v>108</v>
      </c>
      <c r="E14" t="s">
        <v>109</v>
      </c>
      <c r="F14" t="s">
        <v>54</v>
      </c>
      <c r="G14" t="s">
        <v>64</v>
      </c>
      <c r="H14" t="s">
        <v>65</v>
      </c>
      <c r="I14" t="s">
        <v>57</v>
      </c>
      <c r="J14" t="s">
        <v>47</v>
      </c>
      <c r="K14" t="s">
        <v>48</v>
      </c>
      <c r="L14" t="s">
        <v>49</v>
      </c>
      <c r="M14" t="s">
        <v>50</v>
      </c>
      <c r="N14">
        <v>1</v>
      </c>
      <c r="O14">
        <v>460500</v>
      </c>
      <c r="P14">
        <v>0.05</v>
      </c>
      <c r="Q14">
        <v>437475</v>
      </c>
      <c r="R14">
        <v>293070.34000000003</v>
      </c>
      <c r="S14">
        <v>144404.66</v>
      </c>
      <c r="T14" t="s">
        <v>40</v>
      </c>
      <c r="U14" t="str">
        <f t="shared" si="0"/>
        <v>2024-02</v>
      </c>
      <c r="V14">
        <f t="shared" si="1"/>
        <v>6</v>
      </c>
      <c r="W14" s="2">
        <f t="shared" si="2"/>
        <v>0.33008665638036461</v>
      </c>
    </row>
    <row r="15" spans="1:23">
      <c r="A15" t="s">
        <v>110</v>
      </c>
      <c r="B15" s="1">
        <v>44941</v>
      </c>
      <c r="C15" s="1">
        <v>44942</v>
      </c>
      <c r="D15" t="s">
        <v>111</v>
      </c>
      <c r="E15" t="s">
        <v>112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100</v>
      </c>
      <c r="L15" t="s">
        <v>101</v>
      </c>
      <c r="M15" t="s">
        <v>102</v>
      </c>
      <c r="N15">
        <v>5</v>
      </c>
      <c r="O15">
        <v>53100</v>
      </c>
      <c r="P15">
        <v>0</v>
      </c>
      <c r="Q15">
        <v>265500</v>
      </c>
      <c r="R15">
        <v>151423.12</v>
      </c>
      <c r="S15">
        <v>114076.88</v>
      </c>
      <c r="T15" t="s">
        <v>31</v>
      </c>
      <c r="U15" t="str">
        <f t="shared" si="0"/>
        <v>2023-01</v>
      </c>
      <c r="V15">
        <f t="shared" si="1"/>
        <v>1</v>
      </c>
      <c r="W15" s="2">
        <f t="shared" si="2"/>
        <v>0.42966809792843691</v>
      </c>
    </row>
    <row r="16" spans="1:23">
      <c r="A16" t="s">
        <v>113</v>
      </c>
      <c r="B16" s="1">
        <v>45895</v>
      </c>
      <c r="C16" s="1">
        <v>45897</v>
      </c>
      <c r="D16" t="s">
        <v>114</v>
      </c>
      <c r="E16" t="s">
        <v>115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116</v>
      </c>
      <c r="L16" t="s">
        <v>117</v>
      </c>
      <c r="M16" t="s">
        <v>118</v>
      </c>
      <c r="N16">
        <v>2</v>
      </c>
      <c r="O16">
        <v>26700</v>
      </c>
      <c r="P16">
        <v>0.2</v>
      </c>
      <c r="Q16">
        <v>42720</v>
      </c>
      <c r="R16">
        <v>25041.97</v>
      </c>
      <c r="S16">
        <v>17678.03</v>
      </c>
      <c r="T16" t="s">
        <v>40</v>
      </c>
      <c r="U16" t="str">
        <f t="shared" si="0"/>
        <v>2025-08</v>
      </c>
      <c r="V16">
        <f t="shared" si="1"/>
        <v>2</v>
      </c>
      <c r="W16" s="2">
        <f t="shared" si="2"/>
        <v>0.41381156367041194</v>
      </c>
    </row>
    <row r="17" spans="1:23">
      <c r="A17" t="s">
        <v>119</v>
      </c>
      <c r="B17" s="1">
        <v>45621</v>
      </c>
      <c r="C17" s="1">
        <v>45628</v>
      </c>
      <c r="D17" t="s">
        <v>120</v>
      </c>
      <c r="E17" t="s">
        <v>121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>
        <v>1</v>
      </c>
      <c r="O17">
        <v>63900</v>
      </c>
      <c r="P17">
        <v>0.05</v>
      </c>
      <c r="Q17">
        <v>60705</v>
      </c>
      <c r="R17">
        <v>36703.449999999997</v>
      </c>
      <c r="S17">
        <v>24001.55</v>
      </c>
      <c r="T17" t="s">
        <v>40</v>
      </c>
      <c r="U17" t="str">
        <f t="shared" si="0"/>
        <v>2024-11</v>
      </c>
      <c r="V17">
        <f t="shared" si="1"/>
        <v>7</v>
      </c>
      <c r="W17" s="2">
        <f t="shared" si="2"/>
        <v>0.39538011695906433</v>
      </c>
    </row>
    <row r="18" spans="1:23">
      <c r="A18" t="s">
        <v>122</v>
      </c>
      <c r="B18" s="1">
        <v>45127</v>
      </c>
      <c r="C18" s="1">
        <v>45128</v>
      </c>
      <c r="D18" t="s">
        <v>123</v>
      </c>
      <c r="E18" t="s">
        <v>124</v>
      </c>
      <c r="F18" t="s">
        <v>54</v>
      </c>
      <c r="G18" t="s">
        <v>44</v>
      </c>
      <c r="H18" t="s">
        <v>45</v>
      </c>
      <c r="I18" t="s">
        <v>46</v>
      </c>
      <c r="J18" t="s">
        <v>27</v>
      </c>
      <c r="K18" t="s">
        <v>100</v>
      </c>
      <c r="L18" t="s">
        <v>101</v>
      </c>
      <c r="M18" t="s">
        <v>102</v>
      </c>
      <c r="N18">
        <v>1</v>
      </c>
      <c r="O18">
        <v>58400</v>
      </c>
      <c r="P18">
        <v>0</v>
      </c>
      <c r="Q18">
        <v>58400</v>
      </c>
      <c r="R18">
        <v>32188.58</v>
      </c>
      <c r="S18">
        <v>26211.42</v>
      </c>
      <c r="T18" t="s">
        <v>73</v>
      </c>
      <c r="U18" t="str">
        <f t="shared" si="0"/>
        <v>2023-07</v>
      </c>
      <c r="V18">
        <f t="shared" si="1"/>
        <v>1</v>
      </c>
      <c r="W18" s="2">
        <f t="shared" si="2"/>
        <v>0.44882568493150682</v>
      </c>
    </row>
    <row r="19" spans="1:23">
      <c r="A19" t="s">
        <v>125</v>
      </c>
      <c r="B19" s="1">
        <v>44931</v>
      </c>
      <c r="C19" s="1">
        <v>44935</v>
      </c>
      <c r="D19" t="s">
        <v>126</v>
      </c>
      <c r="E19" t="s">
        <v>127</v>
      </c>
      <c r="F19" t="s">
        <v>23</v>
      </c>
      <c r="G19" t="s">
        <v>95</v>
      </c>
      <c r="H19" t="s">
        <v>96</v>
      </c>
      <c r="I19" t="s">
        <v>26</v>
      </c>
      <c r="J19" t="s">
        <v>47</v>
      </c>
      <c r="K19" t="s">
        <v>128</v>
      </c>
      <c r="L19" t="s">
        <v>129</v>
      </c>
      <c r="M19" t="s">
        <v>130</v>
      </c>
      <c r="N19">
        <v>1</v>
      </c>
      <c r="O19">
        <v>1399600</v>
      </c>
      <c r="P19">
        <v>0.25</v>
      </c>
      <c r="Q19">
        <v>1049700</v>
      </c>
      <c r="R19">
        <v>1033200.5</v>
      </c>
      <c r="S19">
        <v>16499.5</v>
      </c>
      <c r="T19" t="s">
        <v>40</v>
      </c>
      <c r="U19" t="str">
        <f t="shared" si="0"/>
        <v>2023-01</v>
      </c>
      <c r="V19">
        <f t="shared" si="1"/>
        <v>4</v>
      </c>
      <c r="W19" s="2">
        <f t="shared" si="2"/>
        <v>1.5718300466800037E-2</v>
      </c>
    </row>
    <row r="20" spans="1:23">
      <c r="A20" t="s">
        <v>131</v>
      </c>
      <c r="B20" s="1">
        <v>45044</v>
      </c>
      <c r="C20" s="1">
        <v>45045</v>
      </c>
      <c r="D20" t="s">
        <v>132</v>
      </c>
      <c r="E20" t="s">
        <v>133</v>
      </c>
      <c r="F20" t="s">
        <v>23</v>
      </c>
      <c r="G20" t="s">
        <v>87</v>
      </c>
      <c r="H20" t="s">
        <v>88</v>
      </c>
      <c r="I20" t="s">
        <v>46</v>
      </c>
      <c r="J20" t="s">
        <v>36</v>
      </c>
      <c r="K20" t="s">
        <v>37</v>
      </c>
      <c r="L20" t="s">
        <v>38</v>
      </c>
      <c r="M20" t="s">
        <v>39</v>
      </c>
      <c r="N20">
        <v>5</v>
      </c>
      <c r="O20">
        <v>896800</v>
      </c>
      <c r="P20">
        <v>0</v>
      </c>
      <c r="Q20">
        <v>4484000</v>
      </c>
      <c r="R20">
        <v>3238276.72</v>
      </c>
      <c r="S20">
        <v>1245723.28</v>
      </c>
      <c r="T20" t="s">
        <v>31</v>
      </c>
      <c r="U20" t="str">
        <f t="shared" si="0"/>
        <v>2023-04</v>
      </c>
      <c r="V20">
        <f t="shared" si="1"/>
        <v>1</v>
      </c>
      <c r="W20" s="2">
        <f t="shared" si="2"/>
        <v>0.27781518287243534</v>
      </c>
    </row>
    <row r="21" spans="1:23">
      <c r="A21" t="s">
        <v>134</v>
      </c>
      <c r="B21" s="1">
        <v>45431</v>
      </c>
      <c r="C21" s="1">
        <v>45436</v>
      </c>
      <c r="D21" t="s">
        <v>135</v>
      </c>
      <c r="E21" t="s">
        <v>136</v>
      </c>
      <c r="F21" t="s">
        <v>23</v>
      </c>
      <c r="G21" t="s">
        <v>44</v>
      </c>
      <c r="H21" t="s">
        <v>45</v>
      </c>
      <c r="I21" t="s">
        <v>46</v>
      </c>
      <c r="J21" t="s">
        <v>36</v>
      </c>
      <c r="K21" t="s">
        <v>37</v>
      </c>
      <c r="L21" t="s">
        <v>38</v>
      </c>
      <c r="M21" t="s">
        <v>39</v>
      </c>
      <c r="N21">
        <v>6</v>
      </c>
      <c r="O21">
        <v>926000</v>
      </c>
      <c r="P21">
        <v>0.15</v>
      </c>
      <c r="Q21">
        <v>4722600</v>
      </c>
      <c r="R21">
        <v>3706406.7</v>
      </c>
      <c r="S21">
        <v>1016193.3</v>
      </c>
      <c r="T21" t="s">
        <v>60</v>
      </c>
      <c r="U21" t="str">
        <f t="shared" si="0"/>
        <v>2024-05</v>
      </c>
      <c r="V21">
        <f t="shared" si="1"/>
        <v>5</v>
      </c>
      <c r="W21" s="2">
        <f t="shared" si="2"/>
        <v>0.21517666116122475</v>
      </c>
    </row>
    <row r="22" spans="1:23">
      <c r="A22" t="s">
        <v>137</v>
      </c>
      <c r="B22" s="1">
        <v>45541</v>
      </c>
      <c r="C22" s="1">
        <v>45545</v>
      </c>
      <c r="D22" t="s">
        <v>138</v>
      </c>
      <c r="E22" t="s">
        <v>139</v>
      </c>
      <c r="F22" t="s">
        <v>23</v>
      </c>
      <c r="G22" t="s">
        <v>140</v>
      </c>
      <c r="H22" t="s">
        <v>141</v>
      </c>
      <c r="I22" t="s">
        <v>46</v>
      </c>
      <c r="J22" t="s">
        <v>47</v>
      </c>
      <c r="K22" t="s">
        <v>142</v>
      </c>
      <c r="L22" t="s">
        <v>143</v>
      </c>
      <c r="M22" t="s">
        <v>144</v>
      </c>
      <c r="N22">
        <v>1</v>
      </c>
      <c r="O22">
        <v>5776100</v>
      </c>
      <c r="P22">
        <v>0</v>
      </c>
      <c r="Q22">
        <v>5776100</v>
      </c>
      <c r="R22">
        <v>4950458.3499999996</v>
      </c>
      <c r="S22">
        <v>825641.65</v>
      </c>
      <c r="T22" t="s">
        <v>31</v>
      </c>
      <c r="U22" t="str">
        <f t="shared" si="0"/>
        <v>2024-09</v>
      </c>
      <c r="V22">
        <f t="shared" si="1"/>
        <v>4</v>
      </c>
      <c r="W22" s="2">
        <f t="shared" si="2"/>
        <v>0.14294102422049479</v>
      </c>
    </row>
    <row r="23" spans="1:23">
      <c r="A23" t="s">
        <v>145</v>
      </c>
      <c r="B23" s="1">
        <v>45683</v>
      </c>
      <c r="C23" s="1">
        <v>45686</v>
      </c>
      <c r="D23" t="s">
        <v>146</v>
      </c>
      <c r="E23" t="s">
        <v>147</v>
      </c>
      <c r="F23" t="s">
        <v>54</v>
      </c>
      <c r="G23" t="s">
        <v>55</v>
      </c>
      <c r="H23" t="s">
        <v>56</v>
      </c>
      <c r="I23" t="s">
        <v>57</v>
      </c>
      <c r="J23" t="s">
        <v>47</v>
      </c>
      <c r="K23" t="s">
        <v>48</v>
      </c>
      <c r="L23" t="s">
        <v>66</v>
      </c>
      <c r="M23" t="s">
        <v>67</v>
      </c>
      <c r="N23">
        <v>3</v>
      </c>
      <c r="O23">
        <v>127800</v>
      </c>
      <c r="P23">
        <v>0.25</v>
      </c>
      <c r="Q23">
        <v>287550</v>
      </c>
      <c r="R23">
        <v>214247.92</v>
      </c>
      <c r="S23">
        <v>73302.080000000002</v>
      </c>
      <c r="T23" t="s">
        <v>31</v>
      </c>
      <c r="U23" t="str">
        <f t="shared" si="0"/>
        <v>2025-01</v>
      </c>
      <c r="V23">
        <f t="shared" si="1"/>
        <v>3</v>
      </c>
      <c r="W23" s="2">
        <f t="shared" si="2"/>
        <v>0.25491942270909407</v>
      </c>
    </row>
    <row r="24" spans="1:23">
      <c r="A24" t="s">
        <v>148</v>
      </c>
      <c r="B24" s="1">
        <v>45146</v>
      </c>
      <c r="C24" s="1">
        <v>45152</v>
      </c>
      <c r="D24" t="s">
        <v>149</v>
      </c>
      <c r="E24" t="s">
        <v>150</v>
      </c>
      <c r="F24" t="s">
        <v>35</v>
      </c>
      <c r="G24" t="s">
        <v>95</v>
      </c>
      <c r="H24" t="s">
        <v>96</v>
      </c>
      <c r="I24" t="s">
        <v>26</v>
      </c>
      <c r="J24" t="s">
        <v>36</v>
      </c>
      <c r="K24" t="s">
        <v>89</v>
      </c>
      <c r="L24" t="s">
        <v>151</v>
      </c>
      <c r="M24" t="s">
        <v>152</v>
      </c>
      <c r="N24">
        <v>1</v>
      </c>
      <c r="O24">
        <v>1299400</v>
      </c>
      <c r="P24">
        <v>0</v>
      </c>
      <c r="Q24">
        <v>1299400</v>
      </c>
      <c r="R24">
        <v>882359.03</v>
      </c>
      <c r="S24">
        <v>417040.97</v>
      </c>
      <c r="T24" t="s">
        <v>60</v>
      </c>
      <c r="U24" t="str">
        <f t="shared" si="0"/>
        <v>2023-08</v>
      </c>
      <c r="V24">
        <f t="shared" si="1"/>
        <v>6</v>
      </c>
      <c r="W24" s="2">
        <f t="shared" si="2"/>
        <v>0.32094887640449438</v>
      </c>
    </row>
    <row r="25" spans="1:23">
      <c r="A25" t="s">
        <v>153</v>
      </c>
      <c r="B25" s="1">
        <v>45794</v>
      </c>
      <c r="C25" s="1">
        <v>45801</v>
      </c>
      <c r="D25" t="s">
        <v>154</v>
      </c>
      <c r="E25" t="s">
        <v>155</v>
      </c>
      <c r="F25" t="s">
        <v>35</v>
      </c>
      <c r="G25" t="s">
        <v>156</v>
      </c>
      <c r="H25" t="s">
        <v>157</v>
      </c>
      <c r="I25" t="s">
        <v>57</v>
      </c>
      <c r="J25" t="s">
        <v>47</v>
      </c>
      <c r="K25" t="s">
        <v>142</v>
      </c>
      <c r="L25" t="s">
        <v>158</v>
      </c>
      <c r="M25" t="s">
        <v>159</v>
      </c>
      <c r="N25">
        <v>1</v>
      </c>
      <c r="O25">
        <v>8177100</v>
      </c>
      <c r="P25">
        <v>0.15</v>
      </c>
      <c r="Q25">
        <v>6950535</v>
      </c>
      <c r="R25">
        <v>6524311.4800000004</v>
      </c>
      <c r="S25">
        <v>426223.52</v>
      </c>
      <c r="T25" t="s">
        <v>60</v>
      </c>
      <c r="U25" t="str">
        <f t="shared" si="0"/>
        <v>2025-05</v>
      </c>
      <c r="V25">
        <f t="shared" si="1"/>
        <v>7</v>
      </c>
      <c r="W25" s="2">
        <f t="shared" si="2"/>
        <v>6.1322404678201034E-2</v>
      </c>
    </row>
    <row r="26" spans="1:23">
      <c r="A26" t="s">
        <v>160</v>
      </c>
      <c r="B26" s="1">
        <v>45232</v>
      </c>
      <c r="C26" s="1">
        <v>45237</v>
      </c>
      <c r="D26" t="s">
        <v>161</v>
      </c>
      <c r="E26" t="s">
        <v>162</v>
      </c>
      <c r="F26" t="s">
        <v>35</v>
      </c>
      <c r="G26" t="s">
        <v>55</v>
      </c>
      <c r="H26" t="s">
        <v>56</v>
      </c>
      <c r="I26" t="s">
        <v>57</v>
      </c>
      <c r="J26" t="s">
        <v>47</v>
      </c>
      <c r="K26" t="s">
        <v>48</v>
      </c>
      <c r="L26" t="s">
        <v>49</v>
      </c>
      <c r="M26" t="s">
        <v>50</v>
      </c>
      <c r="N26">
        <v>1</v>
      </c>
      <c r="O26">
        <v>469400</v>
      </c>
      <c r="P26">
        <v>0.2</v>
      </c>
      <c r="Q26">
        <v>375520</v>
      </c>
      <c r="R26">
        <v>306596.8</v>
      </c>
      <c r="S26">
        <v>68923.199999999997</v>
      </c>
      <c r="T26" t="s">
        <v>40</v>
      </c>
      <c r="U26" t="str">
        <f t="shared" si="0"/>
        <v>2023-11</v>
      </c>
      <c r="V26">
        <f t="shared" si="1"/>
        <v>5</v>
      </c>
      <c r="W26" s="2">
        <f t="shared" si="2"/>
        <v>0.18354069024286321</v>
      </c>
    </row>
    <row r="27" spans="1:23">
      <c r="A27" t="s">
        <v>163</v>
      </c>
      <c r="B27" s="1">
        <v>45357</v>
      </c>
      <c r="C27" s="1">
        <v>45363</v>
      </c>
      <c r="D27" t="s">
        <v>164</v>
      </c>
      <c r="E27" t="s">
        <v>165</v>
      </c>
      <c r="F27" t="s">
        <v>35</v>
      </c>
      <c r="G27" t="s">
        <v>156</v>
      </c>
      <c r="H27" t="s">
        <v>157</v>
      </c>
      <c r="I27" t="s">
        <v>57</v>
      </c>
      <c r="J27" t="s">
        <v>47</v>
      </c>
      <c r="K27" t="s">
        <v>142</v>
      </c>
      <c r="L27" t="s">
        <v>143</v>
      </c>
      <c r="M27" t="s">
        <v>144</v>
      </c>
      <c r="N27">
        <v>10</v>
      </c>
      <c r="O27">
        <v>6495800</v>
      </c>
      <c r="P27">
        <v>0.25</v>
      </c>
      <c r="Q27">
        <v>48718500</v>
      </c>
      <c r="R27">
        <v>50967390.299999997</v>
      </c>
      <c r="S27">
        <v>-2248890.2999999998</v>
      </c>
      <c r="T27" t="s">
        <v>40</v>
      </c>
      <c r="U27" t="str">
        <f t="shared" si="0"/>
        <v>2024-03</v>
      </c>
      <c r="V27">
        <f t="shared" si="1"/>
        <v>6</v>
      </c>
      <c r="W27" s="2">
        <f t="shared" si="2"/>
        <v>-4.6160910126543303E-2</v>
      </c>
    </row>
    <row r="28" spans="1:23">
      <c r="A28" t="s">
        <v>166</v>
      </c>
      <c r="B28" s="1">
        <v>45289</v>
      </c>
      <c r="C28" s="1">
        <v>45293</v>
      </c>
      <c r="D28" t="s">
        <v>167</v>
      </c>
      <c r="E28" t="s">
        <v>168</v>
      </c>
      <c r="F28" t="s">
        <v>35</v>
      </c>
      <c r="G28" t="s">
        <v>169</v>
      </c>
      <c r="H28" t="s">
        <v>157</v>
      </c>
      <c r="I28" t="s">
        <v>57</v>
      </c>
      <c r="J28" t="s">
        <v>47</v>
      </c>
      <c r="K28" t="s">
        <v>48</v>
      </c>
      <c r="L28" t="s">
        <v>49</v>
      </c>
      <c r="M28" t="s">
        <v>50</v>
      </c>
      <c r="N28">
        <v>1</v>
      </c>
      <c r="O28">
        <v>520500</v>
      </c>
      <c r="P28">
        <v>0</v>
      </c>
      <c r="Q28">
        <v>520500</v>
      </c>
      <c r="R28">
        <v>343163.9</v>
      </c>
      <c r="S28">
        <v>177336.1</v>
      </c>
      <c r="T28" t="s">
        <v>73</v>
      </c>
      <c r="U28" t="str">
        <f t="shared" si="0"/>
        <v>2023-12</v>
      </c>
      <c r="V28">
        <f t="shared" si="1"/>
        <v>4</v>
      </c>
      <c r="W28" s="2">
        <f t="shared" si="2"/>
        <v>0.34070336215177716</v>
      </c>
    </row>
    <row r="29" spans="1:23">
      <c r="A29" t="s">
        <v>170</v>
      </c>
      <c r="B29" s="1">
        <v>45869</v>
      </c>
      <c r="C29" s="1">
        <v>45872</v>
      </c>
      <c r="D29" t="s">
        <v>171</v>
      </c>
      <c r="E29" t="s">
        <v>172</v>
      </c>
      <c r="F29" t="s">
        <v>23</v>
      </c>
      <c r="G29" t="s">
        <v>24</v>
      </c>
      <c r="H29" t="s">
        <v>25</v>
      </c>
      <c r="I29" t="s">
        <v>26</v>
      </c>
      <c r="J29" t="s">
        <v>47</v>
      </c>
      <c r="K29" t="s">
        <v>173</v>
      </c>
      <c r="L29" t="s">
        <v>174</v>
      </c>
      <c r="M29" t="s">
        <v>175</v>
      </c>
      <c r="N29">
        <v>2</v>
      </c>
      <c r="O29">
        <v>4518100</v>
      </c>
      <c r="P29">
        <v>0</v>
      </c>
      <c r="Q29">
        <v>9036200</v>
      </c>
      <c r="R29">
        <v>7119616.0800000001</v>
      </c>
      <c r="S29">
        <v>1916583.92</v>
      </c>
      <c r="T29" t="s">
        <v>73</v>
      </c>
      <c r="U29" t="str">
        <f t="shared" si="0"/>
        <v>2025-07</v>
      </c>
      <c r="V29">
        <f t="shared" si="1"/>
        <v>3</v>
      </c>
      <c r="W29" s="2">
        <f t="shared" si="2"/>
        <v>0.2121006529293287</v>
      </c>
    </row>
    <row r="30" spans="1:23">
      <c r="A30" t="s">
        <v>176</v>
      </c>
      <c r="B30" s="1">
        <v>45745</v>
      </c>
      <c r="C30" s="1">
        <v>45751</v>
      </c>
      <c r="D30" t="s">
        <v>177</v>
      </c>
      <c r="E30" t="s">
        <v>178</v>
      </c>
      <c r="F30" t="s">
        <v>23</v>
      </c>
      <c r="G30" t="s">
        <v>140</v>
      </c>
      <c r="H30" t="s">
        <v>141</v>
      </c>
      <c r="I30" t="s">
        <v>46</v>
      </c>
      <c r="J30" t="s">
        <v>27</v>
      </c>
      <c r="K30" t="s">
        <v>179</v>
      </c>
      <c r="L30" t="s">
        <v>180</v>
      </c>
      <c r="M30" t="s">
        <v>181</v>
      </c>
      <c r="N30">
        <v>1</v>
      </c>
      <c r="O30">
        <v>62300</v>
      </c>
      <c r="P30">
        <v>0</v>
      </c>
      <c r="Q30">
        <v>62300</v>
      </c>
      <c r="R30">
        <v>31833.360000000001</v>
      </c>
      <c r="S30">
        <v>30466.639999999999</v>
      </c>
      <c r="T30" t="s">
        <v>60</v>
      </c>
      <c r="U30" t="str">
        <f t="shared" si="0"/>
        <v>2025-03</v>
      </c>
      <c r="V30">
        <f t="shared" si="1"/>
        <v>6</v>
      </c>
      <c r="W30" s="2">
        <f t="shared" si="2"/>
        <v>0.48903113964686995</v>
      </c>
    </row>
    <row r="31" spans="1:23">
      <c r="A31" t="s">
        <v>182</v>
      </c>
      <c r="B31" s="1">
        <v>45569</v>
      </c>
      <c r="C31" s="1">
        <v>45573</v>
      </c>
      <c r="D31" t="s">
        <v>183</v>
      </c>
      <c r="E31" t="s">
        <v>184</v>
      </c>
      <c r="F31" t="s">
        <v>23</v>
      </c>
      <c r="G31" t="s">
        <v>44</v>
      </c>
      <c r="H31" t="s">
        <v>45</v>
      </c>
      <c r="I31" t="s">
        <v>46</v>
      </c>
      <c r="J31" t="s">
        <v>36</v>
      </c>
      <c r="K31" t="s">
        <v>37</v>
      </c>
      <c r="L31" t="s">
        <v>38</v>
      </c>
      <c r="M31" t="s">
        <v>39</v>
      </c>
      <c r="N31">
        <v>1</v>
      </c>
      <c r="O31">
        <v>1034800</v>
      </c>
      <c r="P31">
        <v>0</v>
      </c>
      <c r="Q31">
        <v>1034800</v>
      </c>
      <c r="R31">
        <v>753149.01</v>
      </c>
      <c r="S31">
        <v>281650.99</v>
      </c>
      <c r="T31" t="s">
        <v>73</v>
      </c>
      <c r="U31" t="str">
        <f t="shared" si="0"/>
        <v>2024-10</v>
      </c>
      <c r="V31">
        <f t="shared" si="1"/>
        <v>4</v>
      </c>
      <c r="W31" s="2">
        <f t="shared" si="2"/>
        <v>0.27217915539234633</v>
      </c>
    </row>
    <row r="32" spans="1:23">
      <c r="A32" t="s">
        <v>185</v>
      </c>
      <c r="B32" s="1">
        <v>45070</v>
      </c>
      <c r="C32" s="1">
        <v>45076</v>
      </c>
      <c r="D32" t="s">
        <v>186</v>
      </c>
      <c r="E32" t="s">
        <v>187</v>
      </c>
      <c r="F32" t="s">
        <v>35</v>
      </c>
      <c r="G32" t="s">
        <v>44</v>
      </c>
      <c r="H32" t="s">
        <v>45</v>
      </c>
      <c r="I32" t="s">
        <v>46</v>
      </c>
      <c r="J32" t="s">
        <v>27</v>
      </c>
      <c r="K32" t="s">
        <v>179</v>
      </c>
      <c r="L32" t="s">
        <v>180</v>
      </c>
      <c r="M32" t="s">
        <v>181</v>
      </c>
      <c r="N32">
        <v>2</v>
      </c>
      <c r="O32">
        <v>58600</v>
      </c>
      <c r="P32">
        <v>0.05</v>
      </c>
      <c r="Q32">
        <v>111340</v>
      </c>
      <c r="R32">
        <v>64640.21</v>
      </c>
      <c r="S32">
        <v>46699.79</v>
      </c>
      <c r="T32" t="s">
        <v>60</v>
      </c>
      <c r="U32" t="str">
        <f t="shared" si="0"/>
        <v>2023-05</v>
      </c>
      <c r="V32">
        <f t="shared" si="1"/>
        <v>6</v>
      </c>
      <c r="W32" s="2">
        <f t="shared" si="2"/>
        <v>0.41943407580384406</v>
      </c>
    </row>
    <row r="33" spans="1:23">
      <c r="A33" t="s">
        <v>188</v>
      </c>
      <c r="B33" s="1">
        <v>45703</v>
      </c>
      <c r="C33" s="1">
        <v>45709</v>
      </c>
      <c r="D33" t="s">
        <v>189</v>
      </c>
      <c r="E33" t="s">
        <v>190</v>
      </c>
      <c r="F33" t="s">
        <v>35</v>
      </c>
      <c r="G33" t="s">
        <v>55</v>
      </c>
      <c r="H33" t="s">
        <v>56</v>
      </c>
      <c r="I33" t="s">
        <v>57</v>
      </c>
      <c r="J33" t="s">
        <v>27</v>
      </c>
      <c r="K33" t="s">
        <v>28</v>
      </c>
      <c r="L33" t="s">
        <v>71</v>
      </c>
      <c r="M33" t="s">
        <v>72</v>
      </c>
      <c r="N33">
        <v>2</v>
      </c>
      <c r="O33">
        <v>40500</v>
      </c>
      <c r="P33">
        <v>0</v>
      </c>
      <c r="Q33">
        <v>81000</v>
      </c>
      <c r="R33">
        <v>42367.9</v>
      </c>
      <c r="S33">
        <v>38632.1</v>
      </c>
      <c r="T33" t="s">
        <v>40</v>
      </c>
      <c r="U33" t="str">
        <f t="shared" si="0"/>
        <v>2025-02</v>
      </c>
      <c r="V33">
        <f t="shared" si="1"/>
        <v>6</v>
      </c>
      <c r="W33" s="2">
        <f t="shared" si="2"/>
        <v>0.47693950617283948</v>
      </c>
    </row>
    <row r="34" spans="1:23">
      <c r="A34" t="s">
        <v>191</v>
      </c>
      <c r="B34" s="1">
        <v>45832</v>
      </c>
      <c r="C34" s="1">
        <v>45838</v>
      </c>
      <c r="D34" t="s">
        <v>192</v>
      </c>
      <c r="E34" t="s">
        <v>193</v>
      </c>
      <c r="F34" t="s">
        <v>35</v>
      </c>
      <c r="G34" t="s">
        <v>80</v>
      </c>
      <c r="H34" t="s">
        <v>45</v>
      </c>
      <c r="I34" t="s">
        <v>46</v>
      </c>
      <c r="J34" t="s">
        <v>47</v>
      </c>
      <c r="K34" t="s">
        <v>128</v>
      </c>
      <c r="L34" t="s">
        <v>129</v>
      </c>
      <c r="M34" t="s">
        <v>130</v>
      </c>
      <c r="N34">
        <v>2</v>
      </c>
      <c r="O34">
        <v>1506900</v>
      </c>
      <c r="P34">
        <v>0.05</v>
      </c>
      <c r="Q34">
        <v>2863110</v>
      </c>
      <c r="R34">
        <v>2292309.65</v>
      </c>
      <c r="S34">
        <v>570800.35</v>
      </c>
      <c r="T34" t="s">
        <v>60</v>
      </c>
      <c r="U34" t="str">
        <f t="shared" si="0"/>
        <v>2025-06</v>
      </c>
      <c r="V34">
        <f t="shared" si="1"/>
        <v>6</v>
      </c>
      <c r="W34" s="2">
        <f t="shared" si="2"/>
        <v>0.19936375130539866</v>
      </c>
    </row>
    <row r="35" spans="1:23">
      <c r="A35" t="s">
        <v>194</v>
      </c>
      <c r="B35" s="1">
        <v>45387</v>
      </c>
      <c r="C35" s="1">
        <v>45394</v>
      </c>
      <c r="D35" t="s">
        <v>195</v>
      </c>
      <c r="E35" t="s">
        <v>196</v>
      </c>
      <c r="F35" t="s">
        <v>23</v>
      </c>
      <c r="G35" t="s">
        <v>140</v>
      </c>
      <c r="H35" t="s">
        <v>141</v>
      </c>
      <c r="I35" t="s">
        <v>46</v>
      </c>
      <c r="J35" t="s">
        <v>47</v>
      </c>
      <c r="K35" t="s">
        <v>142</v>
      </c>
      <c r="L35" t="s">
        <v>158</v>
      </c>
      <c r="M35" t="s">
        <v>159</v>
      </c>
      <c r="N35">
        <v>3</v>
      </c>
      <c r="O35">
        <v>8766400</v>
      </c>
      <c r="P35">
        <v>0.05</v>
      </c>
      <c r="Q35">
        <v>24984240</v>
      </c>
      <c r="R35">
        <v>21850802.949999999</v>
      </c>
      <c r="S35">
        <v>3133437.05</v>
      </c>
      <c r="T35" t="s">
        <v>40</v>
      </c>
      <c r="U35" t="str">
        <f t="shared" si="0"/>
        <v>2024-04</v>
      </c>
      <c r="V35">
        <f t="shared" si="1"/>
        <v>7</v>
      </c>
      <c r="W35" s="2">
        <f t="shared" si="2"/>
        <v>0.12541654458970936</v>
      </c>
    </row>
    <row r="36" spans="1:23">
      <c r="A36" t="s">
        <v>197</v>
      </c>
      <c r="B36" s="1">
        <v>45713</v>
      </c>
      <c r="C36" s="1">
        <v>45717</v>
      </c>
      <c r="D36" t="s">
        <v>198</v>
      </c>
      <c r="E36" t="s">
        <v>199</v>
      </c>
      <c r="F36" t="s">
        <v>54</v>
      </c>
      <c r="G36" t="s">
        <v>140</v>
      </c>
      <c r="H36" t="s">
        <v>141</v>
      </c>
      <c r="I36" t="s">
        <v>46</v>
      </c>
      <c r="J36" t="s">
        <v>36</v>
      </c>
      <c r="K36" t="s">
        <v>81</v>
      </c>
      <c r="L36" t="s">
        <v>82</v>
      </c>
      <c r="M36" t="s">
        <v>83</v>
      </c>
      <c r="N36">
        <v>4</v>
      </c>
      <c r="O36">
        <v>616300</v>
      </c>
      <c r="P36">
        <v>0.15</v>
      </c>
      <c r="Q36">
        <v>2095420</v>
      </c>
      <c r="R36">
        <v>1641576.33</v>
      </c>
      <c r="S36">
        <v>453843.67</v>
      </c>
      <c r="T36" t="s">
        <v>31</v>
      </c>
      <c r="U36" t="str">
        <f t="shared" si="0"/>
        <v>2025-02</v>
      </c>
      <c r="V36">
        <f t="shared" si="1"/>
        <v>4</v>
      </c>
      <c r="W36" s="2">
        <f t="shared" si="2"/>
        <v>0.21658840232507087</v>
      </c>
    </row>
    <row r="37" spans="1:23">
      <c r="A37" t="s">
        <v>200</v>
      </c>
      <c r="B37" s="1">
        <v>45437</v>
      </c>
      <c r="C37" s="1">
        <v>45444</v>
      </c>
      <c r="D37" t="s">
        <v>201</v>
      </c>
      <c r="E37" t="s">
        <v>202</v>
      </c>
      <c r="F37" t="s">
        <v>35</v>
      </c>
      <c r="G37" t="s">
        <v>64</v>
      </c>
      <c r="H37" t="s">
        <v>65</v>
      </c>
      <c r="I37" t="s">
        <v>57</v>
      </c>
      <c r="J37" t="s">
        <v>47</v>
      </c>
      <c r="K37" t="s">
        <v>173</v>
      </c>
      <c r="L37" t="s">
        <v>203</v>
      </c>
      <c r="M37" t="s">
        <v>204</v>
      </c>
      <c r="N37">
        <v>8</v>
      </c>
      <c r="O37">
        <v>3507600</v>
      </c>
      <c r="P37">
        <v>0.1</v>
      </c>
      <c r="Q37">
        <v>25254720</v>
      </c>
      <c r="R37">
        <v>22254017.789999999</v>
      </c>
      <c r="S37">
        <v>3000702.21</v>
      </c>
      <c r="T37" t="s">
        <v>60</v>
      </c>
      <c r="U37" t="str">
        <f t="shared" si="0"/>
        <v>2024-05</v>
      </c>
      <c r="V37">
        <f t="shared" si="1"/>
        <v>7</v>
      </c>
      <c r="W37" s="2">
        <f t="shared" si="2"/>
        <v>0.11881748085110427</v>
      </c>
    </row>
    <row r="38" spans="1:23">
      <c r="A38" t="s">
        <v>205</v>
      </c>
      <c r="B38" s="1">
        <v>45840</v>
      </c>
      <c r="C38" s="1">
        <v>45842</v>
      </c>
      <c r="D38" t="s">
        <v>98</v>
      </c>
      <c r="E38" t="s">
        <v>206</v>
      </c>
      <c r="F38" t="s">
        <v>23</v>
      </c>
      <c r="G38" t="s">
        <v>64</v>
      </c>
      <c r="H38" t="s">
        <v>65</v>
      </c>
      <c r="I38" t="s">
        <v>57</v>
      </c>
      <c r="J38" t="s">
        <v>27</v>
      </c>
      <c r="K38" t="s">
        <v>116</v>
      </c>
      <c r="L38" t="s">
        <v>207</v>
      </c>
      <c r="M38" t="s">
        <v>208</v>
      </c>
      <c r="N38">
        <v>5</v>
      </c>
      <c r="O38">
        <v>110500</v>
      </c>
      <c r="P38">
        <v>0.15</v>
      </c>
      <c r="Q38">
        <v>469625</v>
      </c>
      <c r="R38">
        <v>319018.27</v>
      </c>
      <c r="S38">
        <v>150606.73000000001</v>
      </c>
      <c r="T38" t="s">
        <v>73</v>
      </c>
      <c r="U38" t="str">
        <f t="shared" si="0"/>
        <v>2025-07</v>
      </c>
      <c r="V38">
        <f t="shared" si="1"/>
        <v>2</v>
      </c>
      <c r="W38" s="2">
        <f t="shared" si="2"/>
        <v>0.32069572531274954</v>
      </c>
    </row>
    <row r="39" spans="1:23">
      <c r="A39" t="s">
        <v>209</v>
      </c>
      <c r="B39" s="1">
        <v>45085</v>
      </c>
      <c r="C39" s="1">
        <v>45091</v>
      </c>
      <c r="D39" t="s">
        <v>210</v>
      </c>
      <c r="E39" t="s">
        <v>211</v>
      </c>
      <c r="F39" t="s">
        <v>23</v>
      </c>
      <c r="G39" t="s">
        <v>156</v>
      </c>
      <c r="H39" t="s">
        <v>157</v>
      </c>
      <c r="I39" t="s">
        <v>57</v>
      </c>
      <c r="J39" t="s">
        <v>47</v>
      </c>
      <c r="K39" t="s">
        <v>48</v>
      </c>
      <c r="L39" t="s">
        <v>66</v>
      </c>
      <c r="M39" t="s">
        <v>67</v>
      </c>
      <c r="N39">
        <v>1</v>
      </c>
      <c r="O39">
        <v>118900</v>
      </c>
      <c r="P39">
        <v>0.1</v>
      </c>
      <c r="Q39">
        <v>107010</v>
      </c>
      <c r="R39">
        <v>71846.990000000005</v>
      </c>
      <c r="S39">
        <v>35163.01</v>
      </c>
      <c r="T39" t="s">
        <v>31</v>
      </c>
      <c r="U39" t="str">
        <f t="shared" si="0"/>
        <v>2023-06</v>
      </c>
      <c r="V39">
        <f t="shared" si="1"/>
        <v>6</v>
      </c>
      <c r="W39" s="2">
        <f t="shared" si="2"/>
        <v>0.32859555181758715</v>
      </c>
    </row>
    <row r="40" spans="1:23">
      <c r="A40" t="s">
        <v>212</v>
      </c>
      <c r="B40" s="1">
        <v>45604</v>
      </c>
      <c r="C40" s="1">
        <v>45609</v>
      </c>
      <c r="D40" t="s">
        <v>213</v>
      </c>
      <c r="E40" t="s">
        <v>214</v>
      </c>
      <c r="F40" t="s">
        <v>54</v>
      </c>
      <c r="G40" t="s">
        <v>24</v>
      </c>
      <c r="H40" t="s">
        <v>25</v>
      </c>
      <c r="I40" t="s">
        <v>26</v>
      </c>
      <c r="J40" t="s">
        <v>36</v>
      </c>
      <c r="K40" t="s">
        <v>81</v>
      </c>
      <c r="L40" t="s">
        <v>215</v>
      </c>
      <c r="M40" t="s">
        <v>216</v>
      </c>
      <c r="N40">
        <v>6</v>
      </c>
      <c r="O40">
        <v>1799900</v>
      </c>
      <c r="P40">
        <v>0.1</v>
      </c>
      <c r="Q40">
        <v>9719460</v>
      </c>
      <c r="R40">
        <v>7565061.8700000001</v>
      </c>
      <c r="S40">
        <v>2154398.13</v>
      </c>
      <c r="T40" t="s">
        <v>40</v>
      </c>
      <c r="U40" t="str">
        <f t="shared" si="0"/>
        <v>2024-11</v>
      </c>
      <c r="V40">
        <f t="shared" si="1"/>
        <v>5</v>
      </c>
      <c r="W40" s="2">
        <f t="shared" si="2"/>
        <v>0.22165821249328665</v>
      </c>
    </row>
    <row r="41" spans="1:23">
      <c r="A41" t="s">
        <v>217</v>
      </c>
      <c r="B41" s="1">
        <v>45647</v>
      </c>
      <c r="C41" s="1">
        <v>45650</v>
      </c>
      <c r="D41" t="s">
        <v>218</v>
      </c>
      <c r="E41" t="s">
        <v>219</v>
      </c>
      <c r="F41" t="s">
        <v>35</v>
      </c>
      <c r="G41" t="s">
        <v>87</v>
      </c>
      <c r="H41" t="s">
        <v>88</v>
      </c>
      <c r="I41" t="s">
        <v>46</v>
      </c>
      <c r="J41" t="s">
        <v>27</v>
      </c>
      <c r="K41" t="s">
        <v>116</v>
      </c>
      <c r="L41" t="s">
        <v>117</v>
      </c>
      <c r="M41" t="s">
        <v>118</v>
      </c>
      <c r="N41">
        <v>2</v>
      </c>
      <c r="O41">
        <v>25900</v>
      </c>
      <c r="P41">
        <v>0.05</v>
      </c>
      <c r="Q41">
        <v>49210</v>
      </c>
      <c r="R41">
        <v>25396</v>
      </c>
      <c r="S41">
        <v>23814</v>
      </c>
      <c r="T41" t="s">
        <v>73</v>
      </c>
      <c r="U41" t="str">
        <f t="shared" si="0"/>
        <v>2024-12</v>
      </c>
      <c r="V41">
        <f t="shared" si="1"/>
        <v>3</v>
      </c>
      <c r="W41" s="2">
        <f t="shared" si="2"/>
        <v>0.48392603129445233</v>
      </c>
    </row>
    <row r="42" spans="1:23">
      <c r="A42" t="s">
        <v>220</v>
      </c>
      <c r="B42" s="1">
        <v>45884</v>
      </c>
      <c r="C42" s="1">
        <v>45886</v>
      </c>
      <c r="D42" t="s">
        <v>221</v>
      </c>
      <c r="E42" t="s">
        <v>222</v>
      </c>
      <c r="F42" t="s">
        <v>35</v>
      </c>
      <c r="G42" t="s">
        <v>169</v>
      </c>
      <c r="H42" t="s">
        <v>157</v>
      </c>
      <c r="I42" t="s">
        <v>57</v>
      </c>
      <c r="J42" t="s">
        <v>27</v>
      </c>
      <c r="K42" t="s">
        <v>100</v>
      </c>
      <c r="L42" t="s">
        <v>101</v>
      </c>
      <c r="M42" t="s">
        <v>102</v>
      </c>
      <c r="N42">
        <v>1</v>
      </c>
      <c r="O42">
        <v>57700</v>
      </c>
      <c r="P42">
        <v>0.2</v>
      </c>
      <c r="Q42">
        <v>46160</v>
      </c>
      <c r="R42">
        <v>30897.98</v>
      </c>
      <c r="S42">
        <v>15262.02</v>
      </c>
      <c r="T42" t="s">
        <v>31</v>
      </c>
      <c r="U42" t="str">
        <f t="shared" si="0"/>
        <v>2025-08</v>
      </c>
      <c r="V42">
        <f t="shared" si="1"/>
        <v>2</v>
      </c>
      <c r="W42" s="2">
        <f t="shared" si="2"/>
        <v>0.3306330155979203</v>
      </c>
    </row>
    <row r="43" spans="1:23">
      <c r="A43" t="s">
        <v>223</v>
      </c>
      <c r="B43" s="1">
        <v>45360</v>
      </c>
      <c r="C43" s="1">
        <v>45364</v>
      </c>
      <c r="D43" t="s">
        <v>171</v>
      </c>
      <c r="E43" t="s">
        <v>224</v>
      </c>
      <c r="F43" t="s">
        <v>35</v>
      </c>
      <c r="G43" t="s">
        <v>95</v>
      </c>
      <c r="H43" t="s">
        <v>96</v>
      </c>
      <c r="I43" t="s">
        <v>26</v>
      </c>
      <c r="J43" t="s">
        <v>47</v>
      </c>
      <c r="K43" t="s">
        <v>48</v>
      </c>
      <c r="L43" t="s">
        <v>225</v>
      </c>
      <c r="M43" t="s">
        <v>226</v>
      </c>
      <c r="N43">
        <v>1</v>
      </c>
      <c r="O43">
        <v>211100</v>
      </c>
      <c r="P43">
        <v>0</v>
      </c>
      <c r="Q43">
        <v>211100</v>
      </c>
      <c r="R43">
        <v>129208.97</v>
      </c>
      <c r="S43">
        <v>81891.03</v>
      </c>
      <c r="T43" t="s">
        <v>40</v>
      </c>
      <c r="U43" t="str">
        <f t="shared" si="0"/>
        <v>2024-03</v>
      </c>
      <c r="V43">
        <f t="shared" si="1"/>
        <v>4</v>
      </c>
      <c r="W43" s="2">
        <f t="shared" si="2"/>
        <v>0.38792529606821413</v>
      </c>
    </row>
    <row r="44" spans="1:23">
      <c r="A44" t="s">
        <v>227</v>
      </c>
      <c r="B44" s="1">
        <v>45067</v>
      </c>
      <c r="C44" s="1">
        <v>45074</v>
      </c>
      <c r="D44" t="s">
        <v>228</v>
      </c>
      <c r="E44" t="s">
        <v>109</v>
      </c>
      <c r="F44" t="s">
        <v>54</v>
      </c>
      <c r="G44" t="s">
        <v>140</v>
      </c>
      <c r="H44" t="s">
        <v>141</v>
      </c>
      <c r="I44" t="s">
        <v>46</v>
      </c>
      <c r="J44" t="s">
        <v>27</v>
      </c>
      <c r="K44" t="s">
        <v>100</v>
      </c>
      <c r="L44" t="s">
        <v>101</v>
      </c>
      <c r="M44" t="s">
        <v>102</v>
      </c>
      <c r="N44">
        <v>5</v>
      </c>
      <c r="O44">
        <v>60100</v>
      </c>
      <c r="P44">
        <v>0</v>
      </c>
      <c r="Q44">
        <v>300500</v>
      </c>
      <c r="R44">
        <v>167186.06</v>
      </c>
      <c r="S44">
        <v>133313.94</v>
      </c>
      <c r="T44" t="s">
        <v>73</v>
      </c>
      <c r="U44" t="str">
        <f t="shared" si="0"/>
        <v>2023-05</v>
      </c>
      <c r="V44">
        <f t="shared" si="1"/>
        <v>7</v>
      </c>
      <c r="W44" s="2">
        <f t="shared" si="2"/>
        <v>0.4436403993344426</v>
      </c>
    </row>
    <row r="45" spans="1:23">
      <c r="A45" t="s">
        <v>229</v>
      </c>
      <c r="B45" s="1">
        <v>45879</v>
      </c>
      <c r="C45" s="1">
        <v>45885</v>
      </c>
      <c r="D45" t="s">
        <v>230</v>
      </c>
      <c r="E45" t="s">
        <v>231</v>
      </c>
      <c r="F45" t="s">
        <v>35</v>
      </c>
      <c r="G45" t="s">
        <v>80</v>
      </c>
      <c r="H45" t="s">
        <v>45</v>
      </c>
      <c r="I45" t="s">
        <v>46</v>
      </c>
      <c r="J45" t="s">
        <v>47</v>
      </c>
      <c r="K45" t="s">
        <v>48</v>
      </c>
      <c r="L45" t="s">
        <v>49</v>
      </c>
      <c r="M45" t="s">
        <v>50</v>
      </c>
      <c r="N45">
        <v>4</v>
      </c>
      <c r="O45">
        <v>454000</v>
      </c>
      <c r="P45">
        <v>0</v>
      </c>
      <c r="Q45">
        <v>1816000</v>
      </c>
      <c r="R45">
        <v>1154325.8500000001</v>
      </c>
      <c r="S45">
        <v>661674.15</v>
      </c>
      <c r="T45" t="s">
        <v>31</v>
      </c>
      <c r="U45" t="str">
        <f t="shared" si="0"/>
        <v>2025-08</v>
      </c>
      <c r="V45">
        <f t="shared" si="1"/>
        <v>6</v>
      </c>
      <c r="W45" s="2">
        <f t="shared" si="2"/>
        <v>0.36435801211453744</v>
      </c>
    </row>
    <row r="46" spans="1:23">
      <c r="A46" t="s">
        <v>232</v>
      </c>
      <c r="B46" s="1">
        <v>45695</v>
      </c>
      <c r="C46" s="1">
        <v>45699</v>
      </c>
      <c r="D46" t="s">
        <v>233</v>
      </c>
      <c r="E46" t="s">
        <v>234</v>
      </c>
      <c r="F46" t="s">
        <v>35</v>
      </c>
      <c r="G46" t="s">
        <v>44</v>
      </c>
      <c r="H46" t="s">
        <v>45</v>
      </c>
      <c r="I46" t="s">
        <v>46</v>
      </c>
      <c r="J46" t="s">
        <v>27</v>
      </c>
      <c r="K46" t="s">
        <v>28</v>
      </c>
      <c r="L46" t="s">
        <v>29</v>
      </c>
      <c r="M46" t="s">
        <v>30</v>
      </c>
      <c r="N46">
        <v>1</v>
      </c>
      <c r="O46">
        <v>72800</v>
      </c>
      <c r="P46">
        <v>0.2</v>
      </c>
      <c r="Q46">
        <v>58240</v>
      </c>
      <c r="R46">
        <v>40414.839999999997</v>
      </c>
      <c r="S46">
        <v>17825.16</v>
      </c>
      <c r="T46" t="s">
        <v>73</v>
      </c>
      <c r="U46" t="str">
        <f t="shared" si="0"/>
        <v>2025-02</v>
      </c>
      <c r="V46">
        <f t="shared" si="1"/>
        <v>4</v>
      </c>
      <c r="W46" s="2">
        <f t="shared" si="2"/>
        <v>0.30606387362637361</v>
      </c>
    </row>
    <row r="47" spans="1:23">
      <c r="A47" t="s">
        <v>235</v>
      </c>
      <c r="B47" s="1">
        <v>45011</v>
      </c>
      <c r="C47" s="1">
        <v>45014</v>
      </c>
      <c r="D47" t="s">
        <v>236</v>
      </c>
      <c r="E47" t="s">
        <v>237</v>
      </c>
      <c r="F47" t="s">
        <v>23</v>
      </c>
      <c r="G47" t="s">
        <v>156</v>
      </c>
      <c r="H47" t="s">
        <v>157</v>
      </c>
      <c r="I47" t="s">
        <v>57</v>
      </c>
      <c r="J47" t="s">
        <v>36</v>
      </c>
      <c r="K47" t="s">
        <v>37</v>
      </c>
      <c r="L47" t="s">
        <v>58</v>
      </c>
      <c r="M47" t="s">
        <v>59</v>
      </c>
      <c r="N47">
        <v>1</v>
      </c>
      <c r="O47">
        <v>863400</v>
      </c>
      <c r="P47">
        <v>0.05</v>
      </c>
      <c r="Q47">
        <v>820230</v>
      </c>
      <c r="R47">
        <v>564778.19999999995</v>
      </c>
      <c r="S47">
        <v>255451.8</v>
      </c>
      <c r="T47" t="s">
        <v>60</v>
      </c>
      <c r="U47" t="str">
        <f t="shared" si="0"/>
        <v>2023-03</v>
      </c>
      <c r="V47">
        <f t="shared" si="1"/>
        <v>3</v>
      </c>
      <c r="W47" s="2">
        <f t="shared" si="2"/>
        <v>0.31143923045974908</v>
      </c>
    </row>
    <row r="48" spans="1:23">
      <c r="A48" t="s">
        <v>238</v>
      </c>
      <c r="B48" s="1">
        <v>45868</v>
      </c>
      <c r="C48" s="1">
        <v>45874</v>
      </c>
      <c r="D48" t="s">
        <v>239</v>
      </c>
      <c r="E48" t="s">
        <v>240</v>
      </c>
      <c r="F48" t="s">
        <v>54</v>
      </c>
      <c r="G48" t="s">
        <v>87</v>
      </c>
      <c r="H48" t="s">
        <v>88</v>
      </c>
      <c r="I48" t="s">
        <v>46</v>
      </c>
      <c r="J48" t="s">
        <v>47</v>
      </c>
      <c r="K48" t="s">
        <v>173</v>
      </c>
      <c r="L48" t="s">
        <v>203</v>
      </c>
      <c r="M48" t="s">
        <v>204</v>
      </c>
      <c r="N48">
        <v>3</v>
      </c>
      <c r="O48">
        <v>3527400</v>
      </c>
      <c r="P48">
        <v>0.15</v>
      </c>
      <c r="Q48">
        <v>8994870</v>
      </c>
      <c r="R48">
        <v>8126383.8600000003</v>
      </c>
      <c r="S48">
        <v>868486.14</v>
      </c>
      <c r="T48" t="s">
        <v>60</v>
      </c>
      <c r="U48" t="str">
        <f t="shared" si="0"/>
        <v>2025-07</v>
      </c>
      <c r="V48">
        <f t="shared" si="1"/>
        <v>6</v>
      </c>
      <c r="W48" s="2">
        <f t="shared" si="2"/>
        <v>9.6553495492430683E-2</v>
      </c>
    </row>
    <row r="49" spans="1:23">
      <c r="A49" t="s">
        <v>241</v>
      </c>
      <c r="B49" s="1">
        <v>45429</v>
      </c>
      <c r="C49" s="1">
        <v>45436</v>
      </c>
      <c r="D49" t="s">
        <v>242</v>
      </c>
      <c r="E49" t="s">
        <v>243</v>
      </c>
      <c r="F49" t="s">
        <v>23</v>
      </c>
      <c r="G49" t="s">
        <v>64</v>
      </c>
      <c r="H49" t="s">
        <v>65</v>
      </c>
      <c r="I49" t="s">
        <v>57</v>
      </c>
      <c r="J49" t="s">
        <v>27</v>
      </c>
      <c r="K49" t="s">
        <v>179</v>
      </c>
      <c r="L49" t="s">
        <v>244</v>
      </c>
      <c r="M49" t="s">
        <v>245</v>
      </c>
      <c r="N49">
        <v>3</v>
      </c>
      <c r="O49">
        <v>39800</v>
      </c>
      <c r="P49">
        <v>0.05</v>
      </c>
      <c r="Q49">
        <v>113430</v>
      </c>
      <c r="R49">
        <v>60551.31</v>
      </c>
      <c r="S49">
        <v>52878.69</v>
      </c>
      <c r="T49" t="s">
        <v>40</v>
      </c>
      <c r="U49" t="str">
        <f t="shared" si="0"/>
        <v>2024-05</v>
      </c>
      <c r="V49">
        <f t="shared" si="1"/>
        <v>7</v>
      </c>
      <c r="W49" s="2">
        <f t="shared" si="2"/>
        <v>0.46617905316053954</v>
      </c>
    </row>
    <row r="50" spans="1:23">
      <c r="A50" t="s">
        <v>246</v>
      </c>
      <c r="B50" s="1">
        <v>45361</v>
      </c>
      <c r="C50" s="1">
        <v>45364</v>
      </c>
      <c r="D50" t="s">
        <v>247</v>
      </c>
      <c r="E50" t="s">
        <v>248</v>
      </c>
      <c r="F50" t="s">
        <v>54</v>
      </c>
      <c r="G50" t="s">
        <v>95</v>
      </c>
      <c r="H50" t="s">
        <v>96</v>
      </c>
      <c r="I50" t="s">
        <v>26</v>
      </c>
      <c r="J50" t="s">
        <v>27</v>
      </c>
      <c r="K50" t="s">
        <v>179</v>
      </c>
      <c r="L50" t="s">
        <v>180</v>
      </c>
      <c r="M50" t="s">
        <v>181</v>
      </c>
      <c r="N50">
        <v>3</v>
      </c>
      <c r="O50">
        <v>56800</v>
      </c>
      <c r="P50">
        <v>0</v>
      </c>
      <c r="Q50">
        <v>170400</v>
      </c>
      <c r="R50">
        <v>88630.06</v>
      </c>
      <c r="S50">
        <v>81769.94</v>
      </c>
      <c r="T50" t="s">
        <v>60</v>
      </c>
      <c r="U50" t="str">
        <f t="shared" si="0"/>
        <v>2024-03</v>
      </c>
      <c r="V50">
        <f t="shared" si="1"/>
        <v>3</v>
      </c>
      <c r="W50" s="2">
        <f t="shared" si="2"/>
        <v>0.47987053990610329</v>
      </c>
    </row>
    <row r="51" spans="1:23">
      <c r="A51" t="s">
        <v>249</v>
      </c>
      <c r="B51" s="1">
        <v>45419</v>
      </c>
      <c r="C51" s="1">
        <v>45425</v>
      </c>
      <c r="D51" t="s">
        <v>250</v>
      </c>
      <c r="E51" t="s">
        <v>248</v>
      </c>
      <c r="F51" t="s">
        <v>23</v>
      </c>
      <c r="G51" t="s">
        <v>64</v>
      </c>
      <c r="H51" t="s">
        <v>65</v>
      </c>
      <c r="I51" t="s">
        <v>57</v>
      </c>
      <c r="J51" t="s">
        <v>36</v>
      </c>
      <c r="K51" t="s">
        <v>37</v>
      </c>
      <c r="L51" t="s">
        <v>58</v>
      </c>
      <c r="M51" t="s">
        <v>59</v>
      </c>
      <c r="N51">
        <v>1</v>
      </c>
      <c r="O51">
        <v>825400</v>
      </c>
      <c r="P51">
        <v>0.1</v>
      </c>
      <c r="Q51">
        <v>742860</v>
      </c>
      <c r="R51">
        <v>531041.24</v>
      </c>
      <c r="S51">
        <v>211818.76</v>
      </c>
      <c r="T51" t="s">
        <v>31</v>
      </c>
      <c r="U51" t="str">
        <f t="shared" si="0"/>
        <v>2024-05</v>
      </c>
      <c r="V51">
        <f t="shared" si="1"/>
        <v>6</v>
      </c>
      <c r="W51" s="2">
        <f t="shared" si="2"/>
        <v>0.28513954177099321</v>
      </c>
    </row>
    <row r="52" spans="1:23">
      <c r="A52" t="s">
        <v>251</v>
      </c>
      <c r="B52" s="1">
        <v>46014</v>
      </c>
      <c r="C52" s="1">
        <v>46017</v>
      </c>
      <c r="D52" t="s">
        <v>233</v>
      </c>
      <c r="E52" t="s">
        <v>252</v>
      </c>
      <c r="F52" t="s">
        <v>23</v>
      </c>
      <c r="G52" t="s">
        <v>87</v>
      </c>
      <c r="H52" t="s">
        <v>88</v>
      </c>
      <c r="I52" t="s">
        <v>46</v>
      </c>
      <c r="J52" t="s">
        <v>36</v>
      </c>
      <c r="K52" t="s">
        <v>37</v>
      </c>
      <c r="L52" t="s">
        <v>58</v>
      </c>
      <c r="M52" t="s">
        <v>59</v>
      </c>
      <c r="N52">
        <v>1</v>
      </c>
      <c r="O52">
        <v>831100</v>
      </c>
      <c r="P52">
        <v>0</v>
      </c>
      <c r="Q52">
        <v>831100</v>
      </c>
      <c r="R52">
        <v>526729.05000000005</v>
      </c>
      <c r="S52">
        <v>304370.95</v>
      </c>
      <c r="T52" t="s">
        <v>40</v>
      </c>
      <c r="U52" t="str">
        <f t="shared" si="0"/>
        <v>2025-12</v>
      </c>
      <c r="V52">
        <f t="shared" si="1"/>
        <v>3</v>
      </c>
      <c r="W52" s="2">
        <f t="shared" si="2"/>
        <v>0.36622662736132838</v>
      </c>
    </row>
    <row r="53" spans="1:23">
      <c r="A53" t="s">
        <v>253</v>
      </c>
      <c r="B53" s="1">
        <v>45306</v>
      </c>
      <c r="C53" s="1">
        <v>45308</v>
      </c>
      <c r="D53" t="s">
        <v>254</v>
      </c>
      <c r="E53" t="s">
        <v>255</v>
      </c>
      <c r="F53" t="s">
        <v>35</v>
      </c>
      <c r="G53" t="s">
        <v>95</v>
      </c>
      <c r="H53" t="s">
        <v>96</v>
      </c>
      <c r="I53" t="s">
        <v>26</v>
      </c>
      <c r="J53" t="s">
        <v>47</v>
      </c>
      <c r="K53" t="s">
        <v>128</v>
      </c>
      <c r="L53" t="s">
        <v>129</v>
      </c>
      <c r="M53" t="s">
        <v>130</v>
      </c>
      <c r="N53">
        <v>10</v>
      </c>
      <c r="O53">
        <v>1570600</v>
      </c>
      <c r="P53">
        <v>0</v>
      </c>
      <c r="Q53">
        <v>15706000</v>
      </c>
      <c r="R53">
        <v>11273428.619999999</v>
      </c>
      <c r="S53">
        <v>4432571.38</v>
      </c>
      <c r="T53" t="s">
        <v>60</v>
      </c>
      <c r="U53" t="str">
        <f t="shared" si="0"/>
        <v>2024-01</v>
      </c>
      <c r="V53">
        <f t="shared" si="1"/>
        <v>2</v>
      </c>
      <c r="W53" s="2">
        <f t="shared" si="2"/>
        <v>0.28222153189863747</v>
      </c>
    </row>
    <row r="54" spans="1:23">
      <c r="A54" t="s">
        <v>256</v>
      </c>
      <c r="B54" s="1">
        <v>46020</v>
      </c>
      <c r="C54" s="1">
        <v>46022</v>
      </c>
      <c r="D54" t="s">
        <v>257</v>
      </c>
      <c r="E54" t="s">
        <v>258</v>
      </c>
      <c r="F54" t="s">
        <v>23</v>
      </c>
      <c r="G54" t="s">
        <v>87</v>
      </c>
      <c r="H54" t="s">
        <v>88</v>
      </c>
      <c r="I54" t="s">
        <v>46</v>
      </c>
      <c r="J54" t="s">
        <v>47</v>
      </c>
      <c r="K54" t="s">
        <v>142</v>
      </c>
      <c r="L54" t="s">
        <v>158</v>
      </c>
      <c r="M54" t="s">
        <v>159</v>
      </c>
      <c r="N54">
        <v>3</v>
      </c>
      <c r="O54">
        <v>8738000</v>
      </c>
      <c r="P54">
        <v>0</v>
      </c>
      <c r="Q54">
        <v>26214000</v>
      </c>
      <c r="R54">
        <v>19457176.66</v>
      </c>
      <c r="S54">
        <v>6756823.3399999999</v>
      </c>
      <c r="T54" t="s">
        <v>73</v>
      </c>
      <c r="U54" t="str">
        <f t="shared" si="0"/>
        <v>2025-12</v>
      </c>
      <c r="V54">
        <f t="shared" si="1"/>
        <v>2</v>
      </c>
      <c r="W54" s="2">
        <f t="shared" si="2"/>
        <v>0.25775628824292363</v>
      </c>
    </row>
    <row r="55" spans="1:23">
      <c r="A55" t="s">
        <v>259</v>
      </c>
      <c r="B55" s="1">
        <v>45829</v>
      </c>
      <c r="C55" s="1">
        <v>45832</v>
      </c>
      <c r="D55" t="s">
        <v>260</v>
      </c>
      <c r="E55" t="s">
        <v>261</v>
      </c>
      <c r="F55" t="s">
        <v>54</v>
      </c>
      <c r="G55" t="s">
        <v>95</v>
      </c>
      <c r="H55" t="s">
        <v>96</v>
      </c>
      <c r="I55" t="s">
        <v>26</v>
      </c>
      <c r="J55" t="s">
        <v>47</v>
      </c>
      <c r="K55" t="s">
        <v>142</v>
      </c>
      <c r="L55" t="s">
        <v>158</v>
      </c>
      <c r="M55" t="s">
        <v>159</v>
      </c>
      <c r="N55">
        <v>1</v>
      </c>
      <c r="O55">
        <v>7497900</v>
      </c>
      <c r="P55">
        <v>0.05</v>
      </c>
      <c r="Q55">
        <v>7123005</v>
      </c>
      <c r="R55">
        <v>5994645.6200000001</v>
      </c>
      <c r="S55">
        <v>1128359.3799999999</v>
      </c>
      <c r="T55" t="s">
        <v>40</v>
      </c>
      <c r="U55" t="str">
        <f t="shared" si="0"/>
        <v>2025-06</v>
      </c>
      <c r="V55">
        <f t="shared" si="1"/>
        <v>3</v>
      </c>
      <c r="W55" s="2">
        <f t="shared" si="2"/>
        <v>0.15841058373537573</v>
      </c>
    </row>
    <row r="56" spans="1:23">
      <c r="A56" t="s">
        <v>262</v>
      </c>
      <c r="B56" s="1">
        <v>45549</v>
      </c>
      <c r="C56" s="1">
        <v>45550</v>
      </c>
      <c r="D56" t="s">
        <v>263</v>
      </c>
      <c r="E56" t="s">
        <v>264</v>
      </c>
      <c r="F56" t="s">
        <v>35</v>
      </c>
      <c r="G56" t="s">
        <v>87</v>
      </c>
      <c r="H56" t="s">
        <v>88</v>
      </c>
      <c r="I56" t="s">
        <v>46</v>
      </c>
      <c r="J56" t="s">
        <v>27</v>
      </c>
      <c r="K56" t="s">
        <v>100</v>
      </c>
      <c r="L56" t="s">
        <v>105</v>
      </c>
      <c r="M56" t="s">
        <v>106</v>
      </c>
      <c r="N56">
        <v>4</v>
      </c>
      <c r="O56">
        <v>74800</v>
      </c>
      <c r="P56">
        <v>0.2</v>
      </c>
      <c r="Q56">
        <v>239360</v>
      </c>
      <c r="R56">
        <v>171567.39</v>
      </c>
      <c r="S56">
        <v>67792.61</v>
      </c>
      <c r="T56" t="s">
        <v>73</v>
      </c>
      <c r="U56" t="str">
        <f t="shared" si="0"/>
        <v>2024-09</v>
      </c>
      <c r="V56">
        <f t="shared" si="1"/>
        <v>1</v>
      </c>
      <c r="W56" s="2">
        <f t="shared" si="2"/>
        <v>0.28322447359625669</v>
      </c>
    </row>
    <row r="57" spans="1:23">
      <c r="A57" t="s">
        <v>265</v>
      </c>
      <c r="B57" s="1">
        <v>45050</v>
      </c>
      <c r="C57" s="1">
        <v>45055</v>
      </c>
      <c r="D57" t="s">
        <v>266</v>
      </c>
      <c r="E57" t="s">
        <v>267</v>
      </c>
      <c r="F57" t="s">
        <v>35</v>
      </c>
      <c r="G57" t="s">
        <v>24</v>
      </c>
      <c r="H57" t="s">
        <v>25</v>
      </c>
      <c r="I57" t="s">
        <v>26</v>
      </c>
      <c r="J57" t="s">
        <v>27</v>
      </c>
      <c r="K57" t="s">
        <v>100</v>
      </c>
      <c r="L57" t="s">
        <v>105</v>
      </c>
      <c r="M57" t="s">
        <v>106</v>
      </c>
      <c r="N57">
        <v>3</v>
      </c>
      <c r="O57">
        <v>71000</v>
      </c>
      <c r="P57">
        <v>0</v>
      </c>
      <c r="Q57">
        <v>213000</v>
      </c>
      <c r="R57">
        <v>118568.56</v>
      </c>
      <c r="S57">
        <v>94431.44</v>
      </c>
      <c r="T57" t="s">
        <v>60</v>
      </c>
      <c r="U57" t="str">
        <f t="shared" si="0"/>
        <v>2023-05</v>
      </c>
      <c r="V57">
        <f t="shared" si="1"/>
        <v>5</v>
      </c>
      <c r="W57" s="2">
        <f t="shared" si="2"/>
        <v>0.44334009389671364</v>
      </c>
    </row>
    <row r="58" spans="1:23">
      <c r="A58" t="s">
        <v>268</v>
      </c>
      <c r="B58" s="1">
        <v>45889</v>
      </c>
      <c r="C58" s="1">
        <v>45892</v>
      </c>
      <c r="D58" t="s">
        <v>269</v>
      </c>
      <c r="E58" t="s">
        <v>270</v>
      </c>
      <c r="F58" t="s">
        <v>35</v>
      </c>
      <c r="G58" t="s">
        <v>95</v>
      </c>
      <c r="H58" t="s">
        <v>96</v>
      </c>
      <c r="I58" t="s">
        <v>26</v>
      </c>
      <c r="J58" t="s">
        <v>47</v>
      </c>
      <c r="K58" t="s">
        <v>48</v>
      </c>
      <c r="L58" t="s">
        <v>66</v>
      </c>
      <c r="M58" t="s">
        <v>67</v>
      </c>
      <c r="N58">
        <v>1</v>
      </c>
      <c r="O58">
        <v>118900</v>
      </c>
      <c r="P58">
        <v>0</v>
      </c>
      <c r="Q58">
        <v>118900</v>
      </c>
      <c r="R58">
        <v>72607.48</v>
      </c>
      <c r="S58">
        <v>46292.52</v>
      </c>
      <c r="T58" t="s">
        <v>40</v>
      </c>
      <c r="U58" t="str">
        <f t="shared" si="0"/>
        <v>2025-08</v>
      </c>
      <c r="V58">
        <f t="shared" si="1"/>
        <v>3</v>
      </c>
      <c r="W58" s="2">
        <f t="shared" si="2"/>
        <v>0.3893399495374264</v>
      </c>
    </row>
    <row r="59" spans="1:23">
      <c r="A59" t="s">
        <v>271</v>
      </c>
      <c r="B59" s="1">
        <v>45387</v>
      </c>
      <c r="C59" s="1">
        <v>45393</v>
      </c>
      <c r="D59" t="s">
        <v>272</v>
      </c>
      <c r="E59" t="s">
        <v>273</v>
      </c>
      <c r="F59" t="s">
        <v>23</v>
      </c>
      <c r="G59" t="s">
        <v>80</v>
      </c>
      <c r="H59" t="s">
        <v>45</v>
      </c>
      <c r="I59" t="s">
        <v>46</v>
      </c>
      <c r="J59" t="s">
        <v>47</v>
      </c>
      <c r="K59" t="s">
        <v>48</v>
      </c>
      <c r="L59" t="s">
        <v>66</v>
      </c>
      <c r="M59" t="s">
        <v>67</v>
      </c>
      <c r="N59">
        <v>4</v>
      </c>
      <c r="O59">
        <v>128900</v>
      </c>
      <c r="P59">
        <v>0.2</v>
      </c>
      <c r="Q59">
        <v>412480</v>
      </c>
      <c r="R59">
        <v>319908.09999999998</v>
      </c>
      <c r="S59">
        <v>92571.9</v>
      </c>
      <c r="T59" t="s">
        <v>73</v>
      </c>
      <c r="U59" t="str">
        <f t="shared" si="0"/>
        <v>2024-04</v>
      </c>
      <c r="V59">
        <f t="shared" si="1"/>
        <v>6</v>
      </c>
      <c r="W59" s="2">
        <f t="shared" si="2"/>
        <v>0.2244276086113266</v>
      </c>
    </row>
    <row r="60" spans="1:23">
      <c r="A60" t="s">
        <v>274</v>
      </c>
      <c r="B60" s="1">
        <v>45549</v>
      </c>
      <c r="C60" s="1">
        <v>45555</v>
      </c>
      <c r="D60" t="s">
        <v>275</v>
      </c>
      <c r="E60" t="s">
        <v>276</v>
      </c>
      <c r="F60" t="s">
        <v>35</v>
      </c>
      <c r="G60" t="s">
        <v>87</v>
      </c>
      <c r="H60" t="s">
        <v>88</v>
      </c>
      <c r="I60" t="s">
        <v>46</v>
      </c>
      <c r="J60" t="s">
        <v>36</v>
      </c>
      <c r="K60" t="s">
        <v>89</v>
      </c>
      <c r="L60" t="s">
        <v>151</v>
      </c>
      <c r="M60" t="s">
        <v>152</v>
      </c>
      <c r="N60">
        <v>1</v>
      </c>
      <c r="O60">
        <v>1136000</v>
      </c>
      <c r="P60">
        <v>0.05</v>
      </c>
      <c r="Q60">
        <v>1079200</v>
      </c>
      <c r="R60">
        <v>754956.3</v>
      </c>
      <c r="S60">
        <v>324243.7</v>
      </c>
      <c r="T60" t="s">
        <v>40</v>
      </c>
      <c r="U60" t="str">
        <f t="shared" si="0"/>
        <v>2024-09</v>
      </c>
      <c r="V60">
        <f t="shared" si="1"/>
        <v>6</v>
      </c>
      <c r="W60" s="2">
        <f t="shared" si="2"/>
        <v>0.30044820237212749</v>
      </c>
    </row>
    <row r="61" spans="1:23">
      <c r="A61" t="s">
        <v>277</v>
      </c>
      <c r="B61" s="1">
        <v>45395</v>
      </c>
      <c r="C61" s="1">
        <v>45401</v>
      </c>
      <c r="D61" t="s">
        <v>278</v>
      </c>
      <c r="E61" t="s">
        <v>279</v>
      </c>
      <c r="F61" t="s">
        <v>35</v>
      </c>
      <c r="G61" t="s">
        <v>95</v>
      </c>
      <c r="H61" t="s">
        <v>96</v>
      </c>
      <c r="I61" t="s">
        <v>26</v>
      </c>
      <c r="J61" t="s">
        <v>27</v>
      </c>
      <c r="K61" t="s">
        <v>100</v>
      </c>
      <c r="L61" t="s">
        <v>101</v>
      </c>
      <c r="M61" t="s">
        <v>102</v>
      </c>
      <c r="N61">
        <v>2</v>
      </c>
      <c r="O61">
        <v>60500</v>
      </c>
      <c r="P61">
        <v>0.25</v>
      </c>
      <c r="Q61">
        <v>90750</v>
      </c>
      <c r="R61">
        <v>64792.65</v>
      </c>
      <c r="S61">
        <v>25957.35</v>
      </c>
      <c r="T61" t="s">
        <v>73</v>
      </c>
      <c r="U61" t="str">
        <f t="shared" si="0"/>
        <v>2024-04</v>
      </c>
      <c r="V61">
        <f t="shared" si="1"/>
        <v>6</v>
      </c>
      <c r="W61" s="2">
        <f t="shared" si="2"/>
        <v>0.28603140495867768</v>
      </c>
    </row>
    <row r="62" spans="1:23">
      <c r="A62" t="s">
        <v>280</v>
      </c>
      <c r="B62" s="1">
        <v>45934</v>
      </c>
      <c r="C62" s="1">
        <v>45935</v>
      </c>
      <c r="D62" t="s">
        <v>281</v>
      </c>
      <c r="E62" t="s">
        <v>282</v>
      </c>
      <c r="F62" t="s">
        <v>23</v>
      </c>
      <c r="G62" t="s">
        <v>156</v>
      </c>
      <c r="H62" t="s">
        <v>157</v>
      </c>
      <c r="I62" t="s">
        <v>57</v>
      </c>
      <c r="J62" t="s">
        <v>36</v>
      </c>
      <c r="K62" t="s">
        <v>89</v>
      </c>
      <c r="L62" t="s">
        <v>90</v>
      </c>
      <c r="M62" t="s">
        <v>91</v>
      </c>
      <c r="N62">
        <v>5</v>
      </c>
      <c r="O62">
        <v>3063600</v>
      </c>
      <c r="P62">
        <v>0.1</v>
      </c>
      <c r="Q62">
        <v>13786200</v>
      </c>
      <c r="R62">
        <v>10588227.74</v>
      </c>
      <c r="S62">
        <v>3197972.26</v>
      </c>
      <c r="T62" t="s">
        <v>31</v>
      </c>
      <c r="U62" t="str">
        <f t="shared" si="0"/>
        <v>2025-10</v>
      </c>
      <c r="V62">
        <f t="shared" si="1"/>
        <v>1</v>
      </c>
      <c r="W62" s="2">
        <f t="shared" si="2"/>
        <v>0.2319690893792343</v>
      </c>
    </row>
    <row r="63" spans="1:23">
      <c r="A63" t="s">
        <v>283</v>
      </c>
      <c r="B63" s="1">
        <v>45002</v>
      </c>
      <c r="C63" s="1">
        <v>45006</v>
      </c>
      <c r="D63" t="s">
        <v>284</v>
      </c>
      <c r="E63" t="s">
        <v>285</v>
      </c>
      <c r="F63" t="s">
        <v>23</v>
      </c>
      <c r="G63" t="s">
        <v>156</v>
      </c>
      <c r="H63" t="s">
        <v>157</v>
      </c>
      <c r="I63" t="s">
        <v>57</v>
      </c>
      <c r="J63" t="s">
        <v>47</v>
      </c>
      <c r="K63" t="s">
        <v>48</v>
      </c>
      <c r="L63" t="s">
        <v>66</v>
      </c>
      <c r="M63" t="s">
        <v>67</v>
      </c>
      <c r="N63">
        <v>5</v>
      </c>
      <c r="O63">
        <v>135200</v>
      </c>
      <c r="P63">
        <v>0</v>
      </c>
      <c r="Q63">
        <v>676000</v>
      </c>
      <c r="R63">
        <v>416788.01</v>
      </c>
      <c r="S63">
        <v>259211.99</v>
      </c>
      <c r="T63" t="s">
        <v>40</v>
      </c>
      <c r="U63" t="str">
        <f t="shared" si="0"/>
        <v>2023-03</v>
      </c>
      <c r="V63">
        <f t="shared" si="1"/>
        <v>4</v>
      </c>
      <c r="W63" s="2">
        <f t="shared" si="2"/>
        <v>0.38344968934911239</v>
      </c>
    </row>
    <row r="64" spans="1:23">
      <c r="A64" t="s">
        <v>286</v>
      </c>
      <c r="B64" s="1">
        <v>45311</v>
      </c>
      <c r="C64" s="1">
        <v>45316</v>
      </c>
      <c r="D64" t="s">
        <v>287</v>
      </c>
      <c r="E64" t="s">
        <v>288</v>
      </c>
      <c r="F64" t="s">
        <v>35</v>
      </c>
      <c r="G64" t="s">
        <v>64</v>
      </c>
      <c r="H64" t="s">
        <v>65</v>
      </c>
      <c r="I64" t="s">
        <v>57</v>
      </c>
      <c r="J64" t="s">
        <v>36</v>
      </c>
      <c r="K64" t="s">
        <v>89</v>
      </c>
      <c r="L64" t="s">
        <v>90</v>
      </c>
      <c r="M64" t="s">
        <v>91</v>
      </c>
      <c r="N64">
        <v>1</v>
      </c>
      <c r="O64">
        <v>2925800</v>
      </c>
      <c r="P64">
        <v>0</v>
      </c>
      <c r="Q64">
        <v>2925800</v>
      </c>
      <c r="R64">
        <v>2180180.4700000002</v>
      </c>
      <c r="S64">
        <v>745619.53</v>
      </c>
      <c r="T64" t="s">
        <v>73</v>
      </c>
      <c r="U64" t="str">
        <f t="shared" si="0"/>
        <v>2024-01</v>
      </c>
      <c r="V64">
        <f t="shared" si="1"/>
        <v>5</v>
      </c>
      <c r="W64" s="2">
        <f t="shared" si="2"/>
        <v>0.2548429591906487</v>
      </c>
    </row>
    <row r="65" spans="1:23">
      <c r="A65" t="s">
        <v>289</v>
      </c>
      <c r="B65" s="1">
        <v>45417</v>
      </c>
      <c r="C65" s="1">
        <v>45423</v>
      </c>
      <c r="D65" t="s">
        <v>290</v>
      </c>
      <c r="E65" t="s">
        <v>291</v>
      </c>
      <c r="F65" t="s">
        <v>23</v>
      </c>
      <c r="G65" t="s">
        <v>87</v>
      </c>
      <c r="H65" t="s">
        <v>88</v>
      </c>
      <c r="I65" t="s">
        <v>46</v>
      </c>
      <c r="J65" t="s">
        <v>47</v>
      </c>
      <c r="K65" t="s">
        <v>142</v>
      </c>
      <c r="L65" t="s">
        <v>158</v>
      </c>
      <c r="M65" t="s">
        <v>159</v>
      </c>
      <c r="N65">
        <v>10</v>
      </c>
      <c r="O65">
        <v>9026900</v>
      </c>
      <c r="P65">
        <v>0.05</v>
      </c>
      <c r="Q65">
        <v>85755550</v>
      </c>
      <c r="R65">
        <v>67964529.150000006</v>
      </c>
      <c r="S65">
        <v>17791020.850000001</v>
      </c>
      <c r="T65" t="s">
        <v>73</v>
      </c>
      <c r="U65" t="str">
        <f t="shared" si="0"/>
        <v>2024-05</v>
      </c>
      <c r="V65">
        <f t="shared" si="1"/>
        <v>6</v>
      </c>
      <c r="W65" s="2">
        <f t="shared" si="2"/>
        <v>0.20746203423568504</v>
      </c>
    </row>
    <row r="66" spans="1:23">
      <c r="A66" t="s">
        <v>292</v>
      </c>
      <c r="B66" s="1">
        <v>45524</v>
      </c>
      <c r="C66" s="1">
        <v>45529</v>
      </c>
      <c r="D66" t="s">
        <v>293</v>
      </c>
      <c r="E66" t="s">
        <v>294</v>
      </c>
      <c r="F66" t="s">
        <v>54</v>
      </c>
      <c r="G66" t="s">
        <v>64</v>
      </c>
      <c r="H66" t="s">
        <v>65</v>
      </c>
      <c r="I66" t="s">
        <v>57</v>
      </c>
      <c r="J66" t="s">
        <v>27</v>
      </c>
      <c r="K66" t="s">
        <v>116</v>
      </c>
      <c r="L66" t="s">
        <v>117</v>
      </c>
      <c r="M66" t="s">
        <v>118</v>
      </c>
      <c r="N66">
        <v>2</v>
      </c>
      <c r="O66">
        <v>25200</v>
      </c>
      <c r="P66">
        <v>0</v>
      </c>
      <c r="Q66">
        <v>50400</v>
      </c>
      <c r="R66">
        <v>25385.49</v>
      </c>
      <c r="S66">
        <v>25014.51</v>
      </c>
      <c r="T66" t="s">
        <v>73</v>
      </c>
      <c r="U66" t="str">
        <f t="shared" si="0"/>
        <v>2024-08</v>
      </c>
      <c r="V66">
        <f t="shared" si="1"/>
        <v>5</v>
      </c>
      <c r="W66" s="2">
        <f t="shared" si="2"/>
        <v>0.49631964285714281</v>
      </c>
    </row>
    <row r="67" spans="1:23">
      <c r="A67" t="s">
        <v>295</v>
      </c>
      <c r="B67" s="1">
        <v>45492</v>
      </c>
      <c r="C67" s="1">
        <v>45499</v>
      </c>
      <c r="D67" t="s">
        <v>296</v>
      </c>
      <c r="E67" t="s">
        <v>297</v>
      </c>
      <c r="F67" t="s">
        <v>54</v>
      </c>
      <c r="G67" t="s">
        <v>156</v>
      </c>
      <c r="H67" t="s">
        <v>157</v>
      </c>
      <c r="I67" t="s">
        <v>57</v>
      </c>
      <c r="J67" t="s">
        <v>27</v>
      </c>
      <c r="K67" t="s">
        <v>116</v>
      </c>
      <c r="L67" t="s">
        <v>117</v>
      </c>
      <c r="M67" t="s">
        <v>118</v>
      </c>
      <c r="N67">
        <v>5</v>
      </c>
      <c r="O67">
        <v>26000</v>
      </c>
      <c r="P67">
        <v>0</v>
      </c>
      <c r="Q67">
        <v>130000</v>
      </c>
      <c r="R67">
        <v>65375.43</v>
      </c>
      <c r="S67">
        <v>64624.57</v>
      </c>
      <c r="T67" t="s">
        <v>60</v>
      </c>
      <c r="U67" t="str">
        <f t="shared" ref="U67:U130" si="3">TEXT(B67,"yyyy-mm")</f>
        <v>2024-07</v>
      </c>
      <c r="V67">
        <f t="shared" ref="V67:V130" si="4">C67-B67</f>
        <v>7</v>
      </c>
      <c r="W67" s="2">
        <f t="shared" ref="W67:W130" si="5">IF(Q67=0,0,S67/Q67)</f>
        <v>0.49711207692307691</v>
      </c>
    </row>
    <row r="68" spans="1:23">
      <c r="A68" t="s">
        <v>298</v>
      </c>
      <c r="B68" s="1">
        <v>45841</v>
      </c>
      <c r="C68" s="1">
        <v>45846</v>
      </c>
      <c r="D68" t="s">
        <v>299</v>
      </c>
      <c r="E68" t="s">
        <v>300</v>
      </c>
      <c r="F68" t="s">
        <v>35</v>
      </c>
      <c r="G68" t="s">
        <v>87</v>
      </c>
      <c r="H68" t="s">
        <v>88</v>
      </c>
      <c r="I68" t="s">
        <v>46</v>
      </c>
      <c r="J68" t="s">
        <v>36</v>
      </c>
      <c r="K68" t="s">
        <v>89</v>
      </c>
      <c r="L68" t="s">
        <v>151</v>
      </c>
      <c r="M68" t="s">
        <v>152</v>
      </c>
      <c r="N68">
        <v>2</v>
      </c>
      <c r="O68">
        <v>1213500</v>
      </c>
      <c r="P68">
        <v>0</v>
      </c>
      <c r="Q68">
        <v>2427000</v>
      </c>
      <c r="R68">
        <v>1692230.88</v>
      </c>
      <c r="S68">
        <v>734769.12</v>
      </c>
      <c r="T68" t="s">
        <v>40</v>
      </c>
      <c r="U68" t="str">
        <f t="shared" si="3"/>
        <v>2025-07</v>
      </c>
      <c r="V68">
        <f t="shared" si="4"/>
        <v>5</v>
      </c>
      <c r="W68" s="2">
        <f t="shared" si="5"/>
        <v>0.30274788627935723</v>
      </c>
    </row>
    <row r="69" spans="1:23">
      <c r="A69" t="s">
        <v>301</v>
      </c>
      <c r="B69" s="1">
        <v>45768</v>
      </c>
      <c r="C69" s="1">
        <v>45769</v>
      </c>
      <c r="D69" t="s">
        <v>302</v>
      </c>
      <c r="E69" t="s">
        <v>303</v>
      </c>
      <c r="F69" t="s">
        <v>23</v>
      </c>
      <c r="G69" t="s">
        <v>169</v>
      </c>
      <c r="H69" t="s">
        <v>157</v>
      </c>
      <c r="I69" t="s">
        <v>57</v>
      </c>
      <c r="J69" t="s">
        <v>47</v>
      </c>
      <c r="K69" t="s">
        <v>128</v>
      </c>
      <c r="L69" t="s">
        <v>129</v>
      </c>
      <c r="M69" t="s">
        <v>130</v>
      </c>
      <c r="N69">
        <v>2</v>
      </c>
      <c r="O69">
        <v>1316800</v>
      </c>
      <c r="P69">
        <v>0.05</v>
      </c>
      <c r="Q69">
        <v>2501920</v>
      </c>
      <c r="R69">
        <v>1946864.8</v>
      </c>
      <c r="S69">
        <v>555055.19999999995</v>
      </c>
      <c r="T69" t="s">
        <v>73</v>
      </c>
      <c r="U69" t="str">
        <f t="shared" si="3"/>
        <v>2025-04</v>
      </c>
      <c r="V69">
        <f t="shared" si="4"/>
        <v>1</v>
      </c>
      <c r="W69" s="2">
        <f t="shared" si="5"/>
        <v>0.22185169789601583</v>
      </c>
    </row>
    <row r="70" spans="1:23">
      <c r="A70" t="s">
        <v>304</v>
      </c>
      <c r="B70" s="1">
        <v>45828</v>
      </c>
      <c r="C70" s="1">
        <v>45829</v>
      </c>
      <c r="D70" t="s">
        <v>305</v>
      </c>
      <c r="E70" t="s">
        <v>306</v>
      </c>
      <c r="F70" t="s">
        <v>35</v>
      </c>
      <c r="G70" t="s">
        <v>140</v>
      </c>
      <c r="H70" t="s">
        <v>141</v>
      </c>
      <c r="I70" t="s">
        <v>46</v>
      </c>
      <c r="J70" t="s">
        <v>36</v>
      </c>
      <c r="K70" t="s">
        <v>89</v>
      </c>
      <c r="L70" t="s">
        <v>90</v>
      </c>
      <c r="M70" t="s">
        <v>91</v>
      </c>
      <c r="N70">
        <v>5</v>
      </c>
      <c r="O70">
        <v>3507200</v>
      </c>
      <c r="P70">
        <v>0</v>
      </c>
      <c r="Q70">
        <v>17536000</v>
      </c>
      <c r="R70">
        <v>12908579.300000001</v>
      </c>
      <c r="S70">
        <v>4627420.7</v>
      </c>
      <c r="T70" t="s">
        <v>40</v>
      </c>
      <c r="U70" t="str">
        <f t="shared" si="3"/>
        <v>2025-06</v>
      </c>
      <c r="V70">
        <f t="shared" si="4"/>
        <v>1</v>
      </c>
      <c r="W70" s="2">
        <f t="shared" si="5"/>
        <v>0.26388119867700732</v>
      </c>
    </row>
    <row r="71" spans="1:23">
      <c r="A71" t="s">
        <v>307</v>
      </c>
      <c r="B71" s="1">
        <v>45741</v>
      </c>
      <c r="C71" s="1">
        <v>45747</v>
      </c>
      <c r="D71" t="s">
        <v>138</v>
      </c>
      <c r="E71" t="s">
        <v>224</v>
      </c>
      <c r="F71" t="s">
        <v>23</v>
      </c>
      <c r="G71" t="s">
        <v>87</v>
      </c>
      <c r="H71" t="s">
        <v>88</v>
      </c>
      <c r="I71" t="s">
        <v>46</v>
      </c>
      <c r="J71" t="s">
        <v>47</v>
      </c>
      <c r="K71" t="s">
        <v>48</v>
      </c>
      <c r="L71" t="s">
        <v>49</v>
      </c>
      <c r="M71" t="s">
        <v>50</v>
      </c>
      <c r="N71">
        <v>3</v>
      </c>
      <c r="O71">
        <v>531200</v>
      </c>
      <c r="P71">
        <v>0.05</v>
      </c>
      <c r="Q71">
        <v>1513920</v>
      </c>
      <c r="R71">
        <v>1008120.75</v>
      </c>
      <c r="S71">
        <v>505799.25</v>
      </c>
      <c r="T71" t="s">
        <v>60</v>
      </c>
      <c r="U71" t="str">
        <f t="shared" si="3"/>
        <v>2025-03</v>
      </c>
      <c r="V71">
        <f t="shared" si="4"/>
        <v>6</v>
      </c>
      <c r="W71" s="2">
        <f t="shared" si="5"/>
        <v>0.33409906071655043</v>
      </c>
    </row>
    <row r="72" spans="1:23">
      <c r="A72" t="s">
        <v>308</v>
      </c>
      <c r="B72" s="1">
        <v>45515</v>
      </c>
      <c r="C72" s="1">
        <v>45517</v>
      </c>
      <c r="D72" t="s">
        <v>309</v>
      </c>
      <c r="E72" t="s">
        <v>310</v>
      </c>
      <c r="F72" t="s">
        <v>35</v>
      </c>
      <c r="G72" t="s">
        <v>44</v>
      </c>
      <c r="H72" t="s">
        <v>45</v>
      </c>
      <c r="I72" t="s">
        <v>46</v>
      </c>
      <c r="J72" t="s">
        <v>27</v>
      </c>
      <c r="K72" t="s">
        <v>116</v>
      </c>
      <c r="L72" t="s">
        <v>117</v>
      </c>
      <c r="M72" t="s">
        <v>118</v>
      </c>
      <c r="N72">
        <v>2</v>
      </c>
      <c r="O72">
        <v>28400</v>
      </c>
      <c r="P72">
        <v>0.2</v>
      </c>
      <c r="Q72">
        <v>45440</v>
      </c>
      <c r="R72">
        <v>26606.799999999999</v>
      </c>
      <c r="S72">
        <v>18833.2</v>
      </c>
      <c r="T72" t="s">
        <v>31</v>
      </c>
      <c r="U72" t="str">
        <f t="shared" si="3"/>
        <v>2024-08</v>
      </c>
      <c r="V72">
        <f t="shared" si="4"/>
        <v>2</v>
      </c>
      <c r="W72" s="2">
        <f t="shared" si="5"/>
        <v>0.41446302816901409</v>
      </c>
    </row>
    <row r="73" spans="1:23">
      <c r="A73" t="s">
        <v>311</v>
      </c>
      <c r="B73" s="1">
        <v>45694</v>
      </c>
      <c r="C73" s="1">
        <v>45698</v>
      </c>
      <c r="D73" t="s">
        <v>312</v>
      </c>
      <c r="E73" t="s">
        <v>291</v>
      </c>
      <c r="F73" t="s">
        <v>35</v>
      </c>
      <c r="G73" t="s">
        <v>55</v>
      </c>
      <c r="H73" t="s">
        <v>56</v>
      </c>
      <c r="I73" t="s">
        <v>57</v>
      </c>
      <c r="J73" t="s">
        <v>47</v>
      </c>
      <c r="K73" t="s">
        <v>48</v>
      </c>
      <c r="L73" t="s">
        <v>225</v>
      </c>
      <c r="M73" t="s">
        <v>226</v>
      </c>
      <c r="N73">
        <v>1</v>
      </c>
      <c r="O73">
        <v>211000</v>
      </c>
      <c r="P73">
        <v>0.2</v>
      </c>
      <c r="Q73">
        <v>168800</v>
      </c>
      <c r="R73">
        <v>130469.19</v>
      </c>
      <c r="S73">
        <v>38330.81</v>
      </c>
      <c r="T73" t="s">
        <v>73</v>
      </c>
      <c r="U73" t="str">
        <f t="shared" si="3"/>
        <v>2025-02</v>
      </c>
      <c r="V73">
        <f t="shared" si="4"/>
        <v>4</v>
      </c>
      <c r="W73" s="2">
        <f t="shared" si="5"/>
        <v>0.22707825829383885</v>
      </c>
    </row>
    <row r="74" spans="1:23">
      <c r="A74" t="s">
        <v>313</v>
      </c>
      <c r="B74" s="1">
        <v>45220</v>
      </c>
      <c r="C74" s="1">
        <v>45222</v>
      </c>
      <c r="D74" t="s">
        <v>314</v>
      </c>
      <c r="E74" t="s">
        <v>315</v>
      </c>
      <c r="F74" t="s">
        <v>23</v>
      </c>
      <c r="G74" t="s">
        <v>64</v>
      </c>
      <c r="H74" t="s">
        <v>65</v>
      </c>
      <c r="I74" t="s">
        <v>57</v>
      </c>
      <c r="J74" t="s">
        <v>36</v>
      </c>
      <c r="K74" t="s">
        <v>89</v>
      </c>
      <c r="L74" t="s">
        <v>151</v>
      </c>
      <c r="M74" t="s">
        <v>152</v>
      </c>
      <c r="N74">
        <v>6</v>
      </c>
      <c r="O74">
        <v>1252900</v>
      </c>
      <c r="P74">
        <v>0</v>
      </c>
      <c r="Q74">
        <v>7517400</v>
      </c>
      <c r="R74">
        <v>5142718.72</v>
      </c>
      <c r="S74">
        <v>2374681.2799999998</v>
      </c>
      <c r="T74" t="s">
        <v>31</v>
      </c>
      <c r="U74" t="str">
        <f t="shared" si="3"/>
        <v>2023-10</v>
      </c>
      <c r="V74">
        <f t="shared" si="4"/>
        <v>2</v>
      </c>
      <c r="W74" s="2">
        <f t="shared" si="5"/>
        <v>0.31589130284406841</v>
      </c>
    </row>
    <row r="75" spans="1:23">
      <c r="A75" t="s">
        <v>316</v>
      </c>
      <c r="B75" s="1">
        <v>45539</v>
      </c>
      <c r="C75" s="1">
        <v>45545</v>
      </c>
      <c r="D75" t="s">
        <v>317</v>
      </c>
      <c r="E75" t="s">
        <v>318</v>
      </c>
      <c r="F75" t="s">
        <v>54</v>
      </c>
      <c r="G75" t="s">
        <v>64</v>
      </c>
      <c r="H75" t="s">
        <v>65</v>
      </c>
      <c r="I75" t="s">
        <v>57</v>
      </c>
      <c r="J75" t="s">
        <v>27</v>
      </c>
      <c r="K75" t="s">
        <v>179</v>
      </c>
      <c r="L75" t="s">
        <v>244</v>
      </c>
      <c r="M75" t="s">
        <v>245</v>
      </c>
      <c r="N75">
        <v>10</v>
      </c>
      <c r="O75">
        <v>41300</v>
      </c>
      <c r="P75">
        <v>0</v>
      </c>
      <c r="Q75">
        <v>413000</v>
      </c>
      <c r="R75">
        <v>206412.72</v>
      </c>
      <c r="S75">
        <v>206587.28</v>
      </c>
      <c r="T75" t="s">
        <v>73</v>
      </c>
      <c r="U75" t="str">
        <f t="shared" si="3"/>
        <v>2024-09</v>
      </c>
      <c r="V75">
        <f t="shared" si="4"/>
        <v>6</v>
      </c>
      <c r="W75" s="2">
        <f t="shared" si="5"/>
        <v>0.50021133171912835</v>
      </c>
    </row>
    <row r="76" spans="1:23">
      <c r="A76" t="s">
        <v>319</v>
      </c>
      <c r="B76" s="1">
        <v>45531</v>
      </c>
      <c r="C76" s="1">
        <v>45532</v>
      </c>
      <c r="D76" t="s">
        <v>108</v>
      </c>
      <c r="E76" t="s">
        <v>320</v>
      </c>
      <c r="F76" t="s">
        <v>23</v>
      </c>
      <c r="G76" t="s">
        <v>95</v>
      </c>
      <c r="H76" t="s">
        <v>96</v>
      </c>
      <c r="I76" t="s">
        <v>26</v>
      </c>
      <c r="J76" t="s">
        <v>27</v>
      </c>
      <c r="K76" t="s">
        <v>116</v>
      </c>
      <c r="L76" t="s">
        <v>117</v>
      </c>
      <c r="M76" t="s">
        <v>118</v>
      </c>
      <c r="N76">
        <v>6</v>
      </c>
      <c r="O76">
        <v>28700</v>
      </c>
      <c r="P76">
        <v>0.2</v>
      </c>
      <c r="Q76">
        <v>137760</v>
      </c>
      <c r="R76">
        <v>90063.52</v>
      </c>
      <c r="S76">
        <v>47696.480000000003</v>
      </c>
      <c r="T76" t="s">
        <v>31</v>
      </c>
      <c r="U76" t="str">
        <f t="shared" si="3"/>
        <v>2024-08</v>
      </c>
      <c r="V76">
        <f t="shared" si="4"/>
        <v>1</v>
      </c>
      <c r="W76" s="2">
        <f t="shared" si="5"/>
        <v>0.34622880371660864</v>
      </c>
    </row>
    <row r="77" spans="1:23">
      <c r="A77" t="s">
        <v>321</v>
      </c>
      <c r="B77" s="1">
        <v>45648</v>
      </c>
      <c r="C77" s="1">
        <v>45650</v>
      </c>
      <c r="D77" t="s">
        <v>322</v>
      </c>
      <c r="E77" t="s">
        <v>323</v>
      </c>
      <c r="F77" t="s">
        <v>35</v>
      </c>
      <c r="G77" t="s">
        <v>80</v>
      </c>
      <c r="H77" t="s">
        <v>45</v>
      </c>
      <c r="I77" t="s">
        <v>46</v>
      </c>
      <c r="J77" t="s">
        <v>27</v>
      </c>
      <c r="K77" t="s">
        <v>179</v>
      </c>
      <c r="L77" t="s">
        <v>244</v>
      </c>
      <c r="M77" t="s">
        <v>245</v>
      </c>
      <c r="N77">
        <v>2</v>
      </c>
      <c r="O77">
        <v>37900</v>
      </c>
      <c r="P77">
        <v>0.1</v>
      </c>
      <c r="Q77">
        <v>68220</v>
      </c>
      <c r="R77">
        <v>39613.339999999997</v>
      </c>
      <c r="S77">
        <v>28606.66</v>
      </c>
      <c r="T77" t="s">
        <v>31</v>
      </c>
      <c r="U77" t="str">
        <f t="shared" si="3"/>
        <v>2024-12</v>
      </c>
      <c r="V77">
        <f t="shared" si="4"/>
        <v>2</v>
      </c>
      <c r="W77" s="2">
        <f t="shared" si="5"/>
        <v>0.41932952213427149</v>
      </c>
    </row>
    <row r="78" spans="1:23">
      <c r="A78" t="s">
        <v>324</v>
      </c>
      <c r="B78" s="1">
        <v>45596</v>
      </c>
      <c r="C78" s="1">
        <v>45602</v>
      </c>
      <c r="D78" t="s">
        <v>325</v>
      </c>
      <c r="E78" t="s">
        <v>326</v>
      </c>
      <c r="F78" t="s">
        <v>35</v>
      </c>
      <c r="G78" t="s">
        <v>80</v>
      </c>
      <c r="H78" t="s">
        <v>45</v>
      </c>
      <c r="I78" t="s">
        <v>46</v>
      </c>
      <c r="J78" t="s">
        <v>36</v>
      </c>
      <c r="K78" t="s">
        <v>81</v>
      </c>
      <c r="L78" t="s">
        <v>82</v>
      </c>
      <c r="M78" t="s">
        <v>83</v>
      </c>
      <c r="N78">
        <v>2</v>
      </c>
      <c r="O78">
        <v>715600</v>
      </c>
      <c r="P78">
        <v>0.2</v>
      </c>
      <c r="Q78">
        <v>1144960</v>
      </c>
      <c r="R78">
        <v>900768.53</v>
      </c>
      <c r="S78">
        <v>244191.47</v>
      </c>
      <c r="T78" t="s">
        <v>60</v>
      </c>
      <c r="U78" t="str">
        <f t="shared" si="3"/>
        <v>2024-10</v>
      </c>
      <c r="V78">
        <f t="shared" si="4"/>
        <v>6</v>
      </c>
      <c r="W78" s="2">
        <f t="shared" si="5"/>
        <v>0.21327511004751257</v>
      </c>
    </row>
    <row r="79" spans="1:23">
      <c r="A79" t="s">
        <v>327</v>
      </c>
      <c r="B79" s="1">
        <v>45620</v>
      </c>
      <c r="C79" s="1">
        <v>45627</v>
      </c>
      <c r="D79" t="s">
        <v>328</v>
      </c>
      <c r="E79" t="s">
        <v>329</v>
      </c>
      <c r="F79" t="s">
        <v>35</v>
      </c>
      <c r="G79" t="s">
        <v>80</v>
      </c>
      <c r="H79" t="s">
        <v>45</v>
      </c>
      <c r="I79" t="s">
        <v>46</v>
      </c>
      <c r="J79" t="s">
        <v>47</v>
      </c>
      <c r="K79" t="s">
        <v>142</v>
      </c>
      <c r="L79" t="s">
        <v>143</v>
      </c>
      <c r="M79" t="s">
        <v>144</v>
      </c>
      <c r="N79">
        <v>5</v>
      </c>
      <c r="O79">
        <v>6461900</v>
      </c>
      <c r="P79">
        <v>0.3</v>
      </c>
      <c r="Q79">
        <v>22616650</v>
      </c>
      <c r="R79">
        <v>27805428.199999999</v>
      </c>
      <c r="S79">
        <v>-5188778.2</v>
      </c>
      <c r="T79" t="s">
        <v>73</v>
      </c>
      <c r="U79" t="str">
        <f t="shared" si="3"/>
        <v>2024-11</v>
      </c>
      <c r="V79">
        <f t="shared" si="4"/>
        <v>7</v>
      </c>
      <c r="W79" s="2">
        <f t="shared" si="5"/>
        <v>-0.22942293398889757</v>
      </c>
    </row>
    <row r="80" spans="1:23">
      <c r="A80" t="s">
        <v>330</v>
      </c>
      <c r="B80" s="1">
        <v>45735</v>
      </c>
      <c r="C80" s="1">
        <v>45736</v>
      </c>
      <c r="D80" t="s">
        <v>331</v>
      </c>
      <c r="E80" t="s">
        <v>214</v>
      </c>
      <c r="F80" t="s">
        <v>23</v>
      </c>
      <c r="G80" t="s">
        <v>64</v>
      </c>
      <c r="H80" t="s">
        <v>65</v>
      </c>
      <c r="I80" t="s">
        <v>57</v>
      </c>
      <c r="J80" t="s">
        <v>47</v>
      </c>
      <c r="K80" t="s">
        <v>142</v>
      </c>
      <c r="L80" t="s">
        <v>143</v>
      </c>
      <c r="M80" t="s">
        <v>144</v>
      </c>
      <c r="N80">
        <v>3</v>
      </c>
      <c r="O80">
        <v>6593700</v>
      </c>
      <c r="P80">
        <v>0.25</v>
      </c>
      <c r="Q80">
        <v>14835825</v>
      </c>
      <c r="R80">
        <v>15256529.33</v>
      </c>
      <c r="S80">
        <v>-420704.33</v>
      </c>
      <c r="T80" t="s">
        <v>60</v>
      </c>
      <c r="U80" t="str">
        <f t="shared" si="3"/>
        <v>2025-03</v>
      </c>
      <c r="V80">
        <f t="shared" si="4"/>
        <v>1</v>
      </c>
      <c r="W80" s="2">
        <f t="shared" si="5"/>
        <v>-2.8357326269351384E-2</v>
      </c>
    </row>
    <row r="81" spans="1:23">
      <c r="A81" t="s">
        <v>332</v>
      </c>
      <c r="B81" s="1">
        <v>45598</v>
      </c>
      <c r="C81" s="1">
        <v>45603</v>
      </c>
      <c r="D81" t="s">
        <v>333</v>
      </c>
      <c r="E81" t="s">
        <v>334</v>
      </c>
      <c r="F81" t="s">
        <v>54</v>
      </c>
      <c r="G81" t="s">
        <v>64</v>
      </c>
      <c r="H81" t="s">
        <v>65</v>
      </c>
      <c r="I81" t="s">
        <v>57</v>
      </c>
      <c r="J81" t="s">
        <v>47</v>
      </c>
      <c r="K81" t="s">
        <v>142</v>
      </c>
      <c r="L81" t="s">
        <v>143</v>
      </c>
      <c r="M81" t="s">
        <v>144</v>
      </c>
      <c r="N81">
        <v>3</v>
      </c>
      <c r="O81">
        <v>5646600</v>
      </c>
      <c r="P81">
        <v>0</v>
      </c>
      <c r="Q81">
        <v>16939800</v>
      </c>
      <c r="R81">
        <v>12939806.07</v>
      </c>
      <c r="S81">
        <v>3999993.93</v>
      </c>
      <c r="T81" t="s">
        <v>60</v>
      </c>
      <c r="U81" t="str">
        <f t="shared" si="3"/>
        <v>2024-11</v>
      </c>
      <c r="V81">
        <f t="shared" si="4"/>
        <v>5</v>
      </c>
      <c r="W81" s="2">
        <f t="shared" si="5"/>
        <v>0.23612993836999258</v>
      </c>
    </row>
    <row r="82" spans="1:23">
      <c r="A82" t="s">
        <v>335</v>
      </c>
      <c r="B82" s="1">
        <v>45407</v>
      </c>
      <c r="C82" s="1">
        <v>45412</v>
      </c>
      <c r="D82" t="s">
        <v>296</v>
      </c>
      <c r="E82" t="s">
        <v>336</v>
      </c>
      <c r="F82" t="s">
        <v>35</v>
      </c>
      <c r="G82" t="s">
        <v>156</v>
      </c>
      <c r="H82" t="s">
        <v>157</v>
      </c>
      <c r="I82" t="s">
        <v>57</v>
      </c>
      <c r="J82" t="s">
        <v>47</v>
      </c>
      <c r="K82" t="s">
        <v>128</v>
      </c>
      <c r="L82" t="s">
        <v>129</v>
      </c>
      <c r="M82" t="s">
        <v>130</v>
      </c>
      <c r="N82">
        <v>3</v>
      </c>
      <c r="O82">
        <v>1536800</v>
      </c>
      <c r="P82">
        <v>0.2</v>
      </c>
      <c r="Q82">
        <v>3688320</v>
      </c>
      <c r="R82">
        <v>3436134.3</v>
      </c>
      <c r="S82">
        <v>252185.7</v>
      </c>
      <c r="T82" t="s">
        <v>40</v>
      </c>
      <c r="U82" t="str">
        <f t="shared" si="3"/>
        <v>2024-04</v>
      </c>
      <c r="V82">
        <f t="shared" si="4"/>
        <v>5</v>
      </c>
      <c r="W82" s="2">
        <f t="shared" si="5"/>
        <v>6.8374137818844355E-2</v>
      </c>
    </row>
    <row r="83" spans="1:23">
      <c r="A83" t="s">
        <v>337</v>
      </c>
      <c r="B83" s="1">
        <v>45499</v>
      </c>
      <c r="C83" s="1">
        <v>45500</v>
      </c>
      <c r="D83" t="s">
        <v>317</v>
      </c>
      <c r="E83" t="s">
        <v>115</v>
      </c>
      <c r="F83" t="s">
        <v>23</v>
      </c>
      <c r="G83" t="s">
        <v>64</v>
      </c>
      <c r="H83" t="s">
        <v>65</v>
      </c>
      <c r="I83" t="s">
        <v>57</v>
      </c>
      <c r="J83" t="s">
        <v>27</v>
      </c>
      <c r="K83" t="s">
        <v>28</v>
      </c>
      <c r="L83" t="s">
        <v>29</v>
      </c>
      <c r="M83" t="s">
        <v>30</v>
      </c>
      <c r="N83">
        <v>5</v>
      </c>
      <c r="O83">
        <v>62700</v>
      </c>
      <c r="P83">
        <v>0.1</v>
      </c>
      <c r="Q83">
        <v>282150</v>
      </c>
      <c r="R83">
        <v>172807.94</v>
      </c>
      <c r="S83">
        <v>109342.06</v>
      </c>
      <c r="T83" t="s">
        <v>73</v>
      </c>
      <c r="U83" t="str">
        <f t="shared" si="3"/>
        <v>2024-07</v>
      </c>
      <c r="V83">
        <f t="shared" si="4"/>
        <v>1</v>
      </c>
      <c r="W83" s="2">
        <f t="shared" si="5"/>
        <v>0.38753166755272017</v>
      </c>
    </row>
    <row r="84" spans="1:23">
      <c r="A84" t="s">
        <v>338</v>
      </c>
      <c r="B84" s="1">
        <v>45492</v>
      </c>
      <c r="C84" s="1">
        <v>45494</v>
      </c>
      <c r="D84" t="s">
        <v>339</v>
      </c>
      <c r="E84" t="s">
        <v>53</v>
      </c>
      <c r="F84" t="s">
        <v>35</v>
      </c>
      <c r="G84" t="s">
        <v>44</v>
      </c>
      <c r="H84" t="s">
        <v>45</v>
      </c>
      <c r="I84" t="s">
        <v>46</v>
      </c>
      <c r="J84" t="s">
        <v>27</v>
      </c>
      <c r="K84" t="s">
        <v>116</v>
      </c>
      <c r="L84" t="s">
        <v>207</v>
      </c>
      <c r="M84" t="s">
        <v>208</v>
      </c>
      <c r="N84">
        <v>1</v>
      </c>
      <c r="O84">
        <v>111900</v>
      </c>
      <c r="P84">
        <v>0.3</v>
      </c>
      <c r="Q84">
        <v>78330</v>
      </c>
      <c r="R84">
        <v>67119.31</v>
      </c>
      <c r="S84">
        <v>11210.69</v>
      </c>
      <c r="T84" t="s">
        <v>31</v>
      </c>
      <c r="U84" t="str">
        <f t="shared" si="3"/>
        <v>2024-07</v>
      </c>
      <c r="V84">
        <f t="shared" si="4"/>
        <v>2</v>
      </c>
      <c r="W84" s="2">
        <f t="shared" si="5"/>
        <v>0.14312128175667049</v>
      </c>
    </row>
    <row r="85" spans="1:23">
      <c r="A85" t="s">
        <v>340</v>
      </c>
      <c r="B85" s="1">
        <v>45351</v>
      </c>
      <c r="C85" s="1">
        <v>45356</v>
      </c>
      <c r="D85" t="s">
        <v>341</v>
      </c>
      <c r="E85" t="s">
        <v>342</v>
      </c>
      <c r="F85" t="s">
        <v>35</v>
      </c>
      <c r="G85" t="s">
        <v>156</v>
      </c>
      <c r="H85" t="s">
        <v>157</v>
      </c>
      <c r="I85" t="s">
        <v>57</v>
      </c>
      <c r="J85" t="s">
        <v>47</v>
      </c>
      <c r="K85" t="s">
        <v>173</v>
      </c>
      <c r="L85" t="s">
        <v>174</v>
      </c>
      <c r="M85" t="s">
        <v>175</v>
      </c>
      <c r="N85">
        <v>1</v>
      </c>
      <c r="O85">
        <v>5247500</v>
      </c>
      <c r="P85">
        <v>0.3</v>
      </c>
      <c r="Q85">
        <v>3673250</v>
      </c>
      <c r="R85">
        <v>4015234.86</v>
      </c>
      <c r="S85">
        <v>-341984.86</v>
      </c>
      <c r="T85" t="s">
        <v>31</v>
      </c>
      <c r="U85" t="str">
        <f t="shared" si="3"/>
        <v>2024-02</v>
      </c>
      <c r="V85">
        <f t="shared" si="4"/>
        <v>5</v>
      </c>
      <c r="W85" s="2">
        <f t="shared" si="5"/>
        <v>-9.3101438780371595E-2</v>
      </c>
    </row>
    <row r="86" spans="1:23">
      <c r="A86" t="s">
        <v>343</v>
      </c>
      <c r="B86" s="1">
        <v>44979</v>
      </c>
      <c r="C86" s="1">
        <v>44981</v>
      </c>
      <c r="D86" t="s">
        <v>210</v>
      </c>
      <c r="E86" t="s">
        <v>258</v>
      </c>
      <c r="F86" t="s">
        <v>23</v>
      </c>
      <c r="G86" t="s">
        <v>55</v>
      </c>
      <c r="H86" t="s">
        <v>56</v>
      </c>
      <c r="I86" t="s">
        <v>57</v>
      </c>
      <c r="J86" t="s">
        <v>47</v>
      </c>
      <c r="K86" t="s">
        <v>173</v>
      </c>
      <c r="L86" t="s">
        <v>174</v>
      </c>
      <c r="M86" t="s">
        <v>175</v>
      </c>
      <c r="N86">
        <v>1</v>
      </c>
      <c r="O86">
        <v>4361100</v>
      </c>
      <c r="P86">
        <v>0.05</v>
      </c>
      <c r="Q86">
        <v>4143045</v>
      </c>
      <c r="R86">
        <v>3155608.26</v>
      </c>
      <c r="S86">
        <v>987436.74</v>
      </c>
      <c r="T86" t="s">
        <v>73</v>
      </c>
      <c r="U86" t="str">
        <f t="shared" si="3"/>
        <v>2023-02</v>
      </c>
      <c r="V86">
        <f t="shared" si="4"/>
        <v>2</v>
      </c>
      <c r="W86" s="2">
        <f t="shared" si="5"/>
        <v>0.23833599200587974</v>
      </c>
    </row>
    <row r="87" spans="1:23">
      <c r="A87" t="s">
        <v>344</v>
      </c>
      <c r="B87" s="1">
        <v>45668</v>
      </c>
      <c r="C87" s="1">
        <v>45673</v>
      </c>
      <c r="D87" t="s">
        <v>21</v>
      </c>
      <c r="E87" t="s">
        <v>345</v>
      </c>
      <c r="F87" t="s">
        <v>23</v>
      </c>
      <c r="G87" t="s">
        <v>87</v>
      </c>
      <c r="H87" t="s">
        <v>88</v>
      </c>
      <c r="I87" t="s">
        <v>46</v>
      </c>
      <c r="J87" t="s">
        <v>36</v>
      </c>
      <c r="K87" t="s">
        <v>89</v>
      </c>
      <c r="L87" t="s">
        <v>90</v>
      </c>
      <c r="M87" t="s">
        <v>91</v>
      </c>
      <c r="N87">
        <v>4</v>
      </c>
      <c r="O87">
        <v>3464800</v>
      </c>
      <c r="P87">
        <v>0.1</v>
      </c>
      <c r="Q87">
        <v>12473280</v>
      </c>
      <c r="R87">
        <v>9596780.3100000005</v>
      </c>
      <c r="S87">
        <v>2876499.69</v>
      </c>
      <c r="T87" t="s">
        <v>31</v>
      </c>
      <c r="U87" t="str">
        <f t="shared" si="3"/>
        <v>2025-01</v>
      </c>
      <c r="V87">
        <f t="shared" si="4"/>
        <v>5</v>
      </c>
      <c r="W87" s="2">
        <f t="shared" si="5"/>
        <v>0.23061293340644962</v>
      </c>
    </row>
    <row r="88" spans="1:23">
      <c r="A88" t="s">
        <v>346</v>
      </c>
      <c r="B88" s="1">
        <v>45749</v>
      </c>
      <c r="C88" s="1">
        <v>45753</v>
      </c>
      <c r="D88" t="s">
        <v>242</v>
      </c>
      <c r="E88" t="s">
        <v>347</v>
      </c>
      <c r="F88" t="s">
        <v>23</v>
      </c>
      <c r="G88" t="s">
        <v>64</v>
      </c>
      <c r="H88" t="s">
        <v>65</v>
      </c>
      <c r="I88" t="s">
        <v>57</v>
      </c>
      <c r="J88" t="s">
        <v>27</v>
      </c>
      <c r="K88" t="s">
        <v>116</v>
      </c>
      <c r="L88" t="s">
        <v>207</v>
      </c>
      <c r="M88" t="s">
        <v>208</v>
      </c>
      <c r="N88">
        <v>2</v>
      </c>
      <c r="O88">
        <v>107300</v>
      </c>
      <c r="P88">
        <v>0</v>
      </c>
      <c r="Q88">
        <v>214600</v>
      </c>
      <c r="R88">
        <v>126133.71</v>
      </c>
      <c r="S88">
        <v>88466.29</v>
      </c>
      <c r="T88" t="s">
        <v>31</v>
      </c>
      <c r="U88" t="str">
        <f t="shared" si="3"/>
        <v>2025-04</v>
      </c>
      <c r="V88">
        <f t="shared" si="4"/>
        <v>4</v>
      </c>
      <c r="W88" s="2">
        <f t="shared" si="5"/>
        <v>0.41223807082945013</v>
      </c>
    </row>
    <row r="89" spans="1:23">
      <c r="A89" t="s">
        <v>348</v>
      </c>
      <c r="B89" s="1">
        <v>46013</v>
      </c>
      <c r="C89" s="1">
        <v>46016</v>
      </c>
      <c r="D89" t="s">
        <v>349</v>
      </c>
      <c r="E89" t="s">
        <v>267</v>
      </c>
      <c r="F89" t="s">
        <v>23</v>
      </c>
      <c r="G89" t="s">
        <v>169</v>
      </c>
      <c r="H89" t="s">
        <v>157</v>
      </c>
      <c r="I89" t="s">
        <v>57</v>
      </c>
      <c r="J89" t="s">
        <v>36</v>
      </c>
      <c r="K89" t="s">
        <v>37</v>
      </c>
      <c r="L89" t="s">
        <v>38</v>
      </c>
      <c r="M89" t="s">
        <v>39</v>
      </c>
      <c r="N89">
        <v>5</v>
      </c>
      <c r="O89">
        <v>1022300</v>
      </c>
      <c r="P89">
        <v>0.15</v>
      </c>
      <c r="Q89">
        <v>4344775</v>
      </c>
      <c r="R89">
        <v>3627745.27</v>
      </c>
      <c r="S89">
        <v>717029.73</v>
      </c>
      <c r="T89" t="s">
        <v>31</v>
      </c>
      <c r="U89" t="str">
        <f t="shared" si="3"/>
        <v>2025-12</v>
      </c>
      <c r="V89">
        <f t="shared" si="4"/>
        <v>3</v>
      </c>
      <c r="W89" s="2">
        <f t="shared" si="5"/>
        <v>0.16503264956183</v>
      </c>
    </row>
    <row r="90" spans="1:23">
      <c r="A90" t="s">
        <v>350</v>
      </c>
      <c r="B90" s="1">
        <v>45394</v>
      </c>
      <c r="C90" s="1">
        <v>45398</v>
      </c>
      <c r="D90" t="s">
        <v>351</v>
      </c>
      <c r="E90" t="s">
        <v>352</v>
      </c>
      <c r="F90" t="s">
        <v>23</v>
      </c>
      <c r="G90" t="s">
        <v>169</v>
      </c>
      <c r="H90" t="s">
        <v>157</v>
      </c>
      <c r="I90" t="s">
        <v>57</v>
      </c>
      <c r="J90" t="s">
        <v>47</v>
      </c>
      <c r="K90" t="s">
        <v>128</v>
      </c>
      <c r="L90" t="s">
        <v>129</v>
      </c>
      <c r="M90" t="s">
        <v>130</v>
      </c>
      <c r="N90">
        <v>2</v>
      </c>
      <c r="O90">
        <v>1404700</v>
      </c>
      <c r="P90">
        <v>0</v>
      </c>
      <c r="Q90">
        <v>2809400</v>
      </c>
      <c r="R90">
        <v>2172386.14</v>
      </c>
      <c r="S90">
        <v>637013.86</v>
      </c>
      <c r="T90" t="s">
        <v>31</v>
      </c>
      <c r="U90" t="str">
        <f t="shared" si="3"/>
        <v>2024-04</v>
      </c>
      <c r="V90">
        <f t="shared" si="4"/>
        <v>4</v>
      </c>
      <c r="W90" s="2">
        <f t="shared" si="5"/>
        <v>0.22674373887662846</v>
      </c>
    </row>
    <row r="91" spans="1:23">
      <c r="A91" t="s">
        <v>353</v>
      </c>
      <c r="B91" s="1">
        <v>45101</v>
      </c>
      <c r="C91" s="1">
        <v>45102</v>
      </c>
      <c r="D91" t="s">
        <v>354</v>
      </c>
      <c r="E91" t="s">
        <v>355</v>
      </c>
      <c r="F91" t="s">
        <v>35</v>
      </c>
      <c r="G91" t="s">
        <v>156</v>
      </c>
      <c r="H91" t="s">
        <v>157</v>
      </c>
      <c r="I91" t="s">
        <v>57</v>
      </c>
      <c r="J91" t="s">
        <v>36</v>
      </c>
      <c r="K91" t="s">
        <v>37</v>
      </c>
      <c r="L91" t="s">
        <v>58</v>
      </c>
      <c r="M91" t="s">
        <v>59</v>
      </c>
      <c r="N91">
        <v>3</v>
      </c>
      <c r="O91">
        <v>890500</v>
      </c>
      <c r="P91">
        <v>0.05</v>
      </c>
      <c r="Q91">
        <v>2537925</v>
      </c>
      <c r="R91">
        <v>1677243.95</v>
      </c>
      <c r="S91">
        <v>860681.05</v>
      </c>
      <c r="T91" t="s">
        <v>31</v>
      </c>
      <c r="U91" t="str">
        <f t="shared" si="3"/>
        <v>2023-06</v>
      </c>
      <c r="V91">
        <f t="shared" si="4"/>
        <v>1</v>
      </c>
      <c r="W91" s="2">
        <f t="shared" si="5"/>
        <v>0.33912785050779676</v>
      </c>
    </row>
    <row r="92" spans="1:23">
      <c r="A92" t="s">
        <v>356</v>
      </c>
      <c r="B92" s="1">
        <v>45793</v>
      </c>
      <c r="C92" s="1">
        <v>45800</v>
      </c>
      <c r="D92" t="s">
        <v>357</v>
      </c>
      <c r="E92" t="s">
        <v>358</v>
      </c>
      <c r="F92" t="s">
        <v>35</v>
      </c>
      <c r="G92" t="s">
        <v>95</v>
      </c>
      <c r="H92" t="s">
        <v>96</v>
      </c>
      <c r="I92" t="s">
        <v>26</v>
      </c>
      <c r="J92" t="s">
        <v>27</v>
      </c>
      <c r="K92" t="s">
        <v>100</v>
      </c>
      <c r="L92" t="s">
        <v>101</v>
      </c>
      <c r="M92" t="s">
        <v>102</v>
      </c>
      <c r="N92">
        <v>1</v>
      </c>
      <c r="O92">
        <v>58700</v>
      </c>
      <c r="P92">
        <v>0</v>
      </c>
      <c r="Q92">
        <v>58700</v>
      </c>
      <c r="R92">
        <v>32694.52</v>
      </c>
      <c r="S92">
        <v>26005.48</v>
      </c>
      <c r="T92" t="s">
        <v>60</v>
      </c>
      <c r="U92" t="str">
        <f t="shared" si="3"/>
        <v>2025-05</v>
      </c>
      <c r="V92">
        <f t="shared" si="4"/>
        <v>7</v>
      </c>
      <c r="W92" s="2">
        <f t="shared" si="5"/>
        <v>0.44302350936967633</v>
      </c>
    </row>
    <row r="93" spans="1:23">
      <c r="A93" t="s">
        <v>359</v>
      </c>
      <c r="B93" s="1">
        <v>45679</v>
      </c>
      <c r="C93" s="1">
        <v>45680</v>
      </c>
      <c r="D93" t="s">
        <v>360</v>
      </c>
      <c r="E93" t="s">
        <v>361</v>
      </c>
      <c r="F93" t="s">
        <v>54</v>
      </c>
      <c r="G93" t="s">
        <v>169</v>
      </c>
      <c r="H93" t="s">
        <v>157</v>
      </c>
      <c r="I93" t="s">
        <v>57</v>
      </c>
      <c r="J93" t="s">
        <v>27</v>
      </c>
      <c r="K93" t="s">
        <v>28</v>
      </c>
      <c r="L93" t="s">
        <v>29</v>
      </c>
      <c r="M93" t="s">
        <v>30</v>
      </c>
      <c r="N93">
        <v>3</v>
      </c>
      <c r="O93">
        <v>71000</v>
      </c>
      <c r="P93">
        <v>0.1</v>
      </c>
      <c r="Q93">
        <v>191700</v>
      </c>
      <c r="R93">
        <v>109701.93</v>
      </c>
      <c r="S93">
        <v>81998.070000000007</v>
      </c>
      <c r="T93" t="s">
        <v>31</v>
      </c>
      <c r="U93" t="str">
        <f t="shared" si="3"/>
        <v>2025-01</v>
      </c>
      <c r="V93">
        <f t="shared" si="4"/>
        <v>1</v>
      </c>
      <c r="W93" s="2">
        <f t="shared" si="5"/>
        <v>0.42774162754303602</v>
      </c>
    </row>
    <row r="94" spans="1:23">
      <c r="A94" t="s">
        <v>362</v>
      </c>
      <c r="B94" s="1">
        <v>45559</v>
      </c>
      <c r="C94" s="1">
        <v>45562</v>
      </c>
      <c r="D94" t="s">
        <v>349</v>
      </c>
      <c r="E94" t="s">
        <v>363</v>
      </c>
      <c r="F94" t="s">
        <v>35</v>
      </c>
      <c r="G94" t="s">
        <v>80</v>
      </c>
      <c r="H94" t="s">
        <v>45</v>
      </c>
      <c r="I94" t="s">
        <v>46</v>
      </c>
      <c r="J94" t="s">
        <v>36</v>
      </c>
      <c r="K94" t="s">
        <v>81</v>
      </c>
      <c r="L94" t="s">
        <v>82</v>
      </c>
      <c r="M94" t="s">
        <v>83</v>
      </c>
      <c r="N94">
        <v>1</v>
      </c>
      <c r="O94">
        <v>691000</v>
      </c>
      <c r="P94">
        <v>0.3</v>
      </c>
      <c r="Q94">
        <v>483700</v>
      </c>
      <c r="R94">
        <v>425403.26</v>
      </c>
      <c r="S94">
        <v>58296.74</v>
      </c>
      <c r="T94" t="s">
        <v>40</v>
      </c>
      <c r="U94" t="str">
        <f t="shared" si="3"/>
        <v>2024-09</v>
      </c>
      <c r="V94">
        <f t="shared" si="4"/>
        <v>3</v>
      </c>
      <c r="W94" s="2">
        <f t="shared" si="5"/>
        <v>0.12052251395493074</v>
      </c>
    </row>
    <row r="95" spans="1:23">
      <c r="A95" t="s">
        <v>364</v>
      </c>
      <c r="B95" s="1">
        <v>45856</v>
      </c>
      <c r="C95" s="1">
        <v>45859</v>
      </c>
      <c r="D95" t="s">
        <v>365</v>
      </c>
      <c r="E95" t="s">
        <v>206</v>
      </c>
      <c r="F95" t="s">
        <v>35</v>
      </c>
      <c r="G95" t="s">
        <v>156</v>
      </c>
      <c r="H95" t="s">
        <v>157</v>
      </c>
      <c r="I95" t="s">
        <v>57</v>
      </c>
      <c r="J95" t="s">
        <v>47</v>
      </c>
      <c r="K95" t="s">
        <v>48</v>
      </c>
      <c r="L95" t="s">
        <v>66</v>
      </c>
      <c r="M95" t="s">
        <v>67</v>
      </c>
      <c r="N95">
        <v>5</v>
      </c>
      <c r="O95">
        <v>116800</v>
      </c>
      <c r="P95">
        <v>0.15</v>
      </c>
      <c r="Q95">
        <v>496400</v>
      </c>
      <c r="R95">
        <v>323975.21999999997</v>
      </c>
      <c r="S95">
        <v>172424.78</v>
      </c>
      <c r="T95" t="s">
        <v>31</v>
      </c>
      <c r="U95" t="str">
        <f t="shared" si="3"/>
        <v>2025-07</v>
      </c>
      <c r="V95">
        <f t="shared" si="4"/>
        <v>3</v>
      </c>
      <c r="W95" s="2">
        <f t="shared" si="5"/>
        <v>0.34735048348106368</v>
      </c>
    </row>
    <row r="96" spans="1:23">
      <c r="A96" t="s">
        <v>366</v>
      </c>
      <c r="B96" s="1">
        <v>45795</v>
      </c>
      <c r="C96" s="1">
        <v>45799</v>
      </c>
      <c r="D96" t="s">
        <v>367</v>
      </c>
      <c r="E96" t="s">
        <v>99</v>
      </c>
      <c r="F96" t="s">
        <v>23</v>
      </c>
      <c r="G96" t="s">
        <v>95</v>
      </c>
      <c r="H96" t="s">
        <v>96</v>
      </c>
      <c r="I96" t="s">
        <v>26</v>
      </c>
      <c r="J96" t="s">
        <v>36</v>
      </c>
      <c r="K96" t="s">
        <v>89</v>
      </c>
      <c r="L96" t="s">
        <v>90</v>
      </c>
      <c r="M96" t="s">
        <v>91</v>
      </c>
      <c r="N96">
        <v>2</v>
      </c>
      <c r="O96">
        <v>2911800</v>
      </c>
      <c r="P96">
        <v>0.1</v>
      </c>
      <c r="Q96">
        <v>5241240</v>
      </c>
      <c r="R96">
        <v>4187024.07</v>
      </c>
      <c r="S96">
        <v>1054215.93</v>
      </c>
      <c r="T96" t="s">
        <v>31</v>
      </c>
      <c r="U96" t="str">
        <f t="shared" si="3"/>
        <v>2025-05</v>
      </c>
      <c r="V96">
        <f t="shared" si="4"/>
        <v>4</v>
      </c>
      <c r="W96" s="2">
        <f t="shared" si="5"/>
        <v>0.20113864848776242</v>
      </c>
    </row>
    <row r="97" spans="1:23">
      <c r="A97" t="s">
        <v>368</v>
      </c>
      <c r="B97" s="1">
        <v>45736</v>
      </c>
      <c r="C97" s="1">
        <v>45741</v>
      </c>
      <c r="D97" t="s">
        <v>369</v>
      </c>
      <c r="E97" t="s">
        <v>370</v>
      </c>
      <c r="F97" t="s">
        <v>54</v>
      </c>
      <c r="G97" t="s">
        <v>95</v>
      </c>
      <c r="H97" t="s">
        <v>96</v>
      </c>
      <c r="I97" t="s">
        <v>26</v>
      </c>
      <c r="J97" t="s">
        <v>47</v>
      </c>
      <c r="K97" t="s">
        <v>173</v>
      </c>
      <c r="L97" t="s">
        <v>174</v>
      </c>
      <c r="M97" t="s">
        <v>175</v>
      </c>
      <c r="N97">
        <v>4</v>
      </c>
      <c r="O97">
        <v>4529300</v>
      </c>
      <c r="P97">
        <v>0</v>
      </c>
      <c r="Q97">
        <v>18117200</v>
      </c>
      <c r="R97">
        <v>13787099.869999999</v>
      </c>
      <c r="S97">
        <v>4330100.13</v>
      </c>
      <c r="T97" t="s">
        <v>73</v>
      </c>
      <c r="U97" t="str">
        <f t="shared" si="3"/>
        <v>2025-03</v>
      </c>
      <c r="V97">
        <f t="shared" si="4"/>
        <v>5</v>
      </c>
      <c r="W97" s="2">
        <f t="shared" si="5"/>
        <v>0.23900493067361403</v>
      </c>
    </row>
    <row r="98" spans="1:23">
      <c r="A98" t="s">
        <v>371</v>
      </c>
      <c r="B98" s="1">
        <v>45705</v>
      </c>
      <c r="C98" s="1">
        <v>45710</v>
      </c>
      <c r="D98" t="s">
        <v>263</v>
      </c>
      <c r="E98" t="s">
        <v>372</v>
      </c>
      <c r="F98" t="s">
        <v>23</v>
      </c>
      <c r="G98" t="s">
        <v>44</v>
      </c>
      <c r="H98" t="s">
        <v>45</v>
      </c>
      <c r="I98" t="s">
        <v>46</v>
      </c>
      <c r="J98" t="s">
        <v>27</v>
      </c>
      <c r="K98" t="s">
        <v>179</v>
      </c>
      <c r="L98" t="s">
        <v>180</v>
      </c>
      <c r="M98" t="s">
        <v>181</v>
      </c>
      <c r="N98">
        <v>2</v>
      </c>
      <c r="O98">
        <v>56100</v>
      </c>
      <c r="P98">
        <v>0</v>
      </c>
      <c r="Q98">
        <v>112200</v>
      </c>
      <c r="R98">
        <v>58912.84</v>
      </c>
      <c r="S98">
        <v>53287.16</v>
      </c>
      <c r="T98" t="s">
        <v>31</v>
      </c>
      <c r="U98" t="str">
        <f t="shared" si="3"/>
        <v>2025-02</v>
      </c>
      <c r="V98">
        <f t="shared" si="4"/>
        <v>5</v>
      </c>
      <c r="W98" s="2">
        <f t="shared" si="5"/>
        <v>0.4749301247771836</v>
      </c>
    </row>
    <row r="99" spans="1:23">
      <c r="A99" t="s">
        <v>373</v>
      </c>
      <c r="B99" s="1">
        <v>45782</v>
      </c>
      <c r="C99" s="1">
        <v>45785</v>
      </c>
      <c r="D99" t="s">
        <v>374</v>
      </c>
      <c r="E99" t="s">
        <v>375</v>
      </c>
      <c r="F99" t="s">
        <v>23</v>
      </c>
      <c r="G99" t="s">
        <v>156</v>
      </c>
      <c r="H99" t="s">
        <v>157</v>
      </c>
      <c r="I99" t="s">
        <v>57</v>
      </c>
      <c r="J99" t="s">
        <v>47</v>
      </c>
      <c r="K99" t="s">
        <v>142</v>
      </c>
      <c r="L99" t="s">
        <v>158</v>
      </c>
      <c r="M99" t="s">
        <v>159</v>
      </c>
      <c r="N99">
        <v>5</v>
      </c>
      <c r="O99">
        <v>9039300</v>
      </c>
      <c r="P99">
        <v>0</v>
      </c>
      <c r="Q99">
        <v>45196500</v>
      </c>
      <c r="R99">
        <v>37360815.07</v>
      </c>
      <c r="S99">
        <v>7835684.9299999997</v>
      </c>
      <c r="T99" t="s">
        <v>40</v>
      </c>
      <c r="U99" t="str">
        <f t="shared" si="3"/>
        <v>2025-05</v>
      </c>
      <c r="V99">
        <f t="shared" si="4"/>
        <v>3</v>
      </c>
      <c r="W99" s="2">
        <f t="shared" si="5"/>
        <v>0.17336928589603176</v>
      </c>
    </row>
    <row r="100" spans="1:23">
      <c r="A100" t="s">
        <v>376</v>
      </c>
      <c r="B100" s="1">
        <v>45747</v>
      </c>
      <c r="C100" s="1">
        <v>45752</v>
      </c>
      <c r="D100" t="s">
        <v>377</v>
      </c>
      <c r="E100" t="s">
        <v>178</v>
      </c>
      <c r="F100" t="s">
        <v>23</v>
      </c>
      <c r="G100" t="s">
        <v>156</v>
      </c>
      <c r="H100" t="s">
        <v>157</v>
      </c>
      <c r="I100" t="s">
        <v>57</v>
      </c>
      <c r="J100" t="s">
        <v>47</v>
      </c>
      <c r="K100" t="s">
        <v>48</v>
      </c>
      <c r="L100" t="s">
        <v>66</v>
      </c>
      <c r="M100" t="s">
        <v>67</v>
      </c>
      <c r="N100">
        <v>1</v>
      </c>
      <c r="O100">
        <v>129900</v>
      </c>
      <c r="P100">
        <v>0.1</v>
      </c>
      <c r="Q100">
        <v>116910</v>
      </c>
      <c r="R100">
        <v>73474.080000000002</v>
      </c>
      <c r="S100">
        <v>43435.92</v>
      </c>
      <c r="T100" t="s">
        <v>73</v>
      </c>
      <c r="U100" t="str">
        <f t="shared" si="3"/>
        <v>2025-03</v>
      </c>
      <c r="V100">
        <f t="shared" si="4"/>
        <v>5</v>
      </c>
      <c r="W100" s="2">
        <f t="shared" si="5"/>
        <v>0.37153297408262764</v>
      </c>
    </row>
    <row r="101" spans="1:23">
      <c r="A101" t="s">
        <v>378</v>
      </c>
      <c r="B101" s="1">
        <v>45229</v>
      </c>
      <c r="C101" s="1">
        <v>45231</v>
      </c>
      <c r="D101" t="s">
        <v>333</v>
      </c>
      <c r="E101" t="s">
        <v>121</v>
      </c>
      <c r="F101" t="s">
        <v>23</v>
      </c>
      <c r="G101" t="s">
        <v>24</v>
      </c>
      <c r="H101" t="s">
        <v>25</v>
      </c>
      <c r="I101" t="s">
        <v>26</v>
      </c>
      <c r="J101" t="s">
        <v>47</v>
      </c>
      <c r="K101" t="s">
        <v>48</v>
      </c>
      <c r="L101" t="s">
        <v>66</v>
      </c>
      <c r="M101" t="s">
        <v>67</v>
      </c>
      <c r="N101">
        <v>4</v>
      </c>
      <c r="O101">
        <v>130500</v>
      </c>
      <c r="P101">
        <v>0</v>
      </c>
      <c r="Q101">
        <v>522000</v>
      </c>
      <c r="R101">
        <v>318040.37</v>
      </c>
      <c r="S101">
        <v>203959.63</v>
      </c>
      <c r="T101" t="s">
        <v>73</v>
      </c>
      <c r="U101" t="str">
        <f t="shared" si="3"/>
        <v>2023-10</v>
      </c>
      <c r="V101">
        <f t="shared" si="4"/>
        <v>2</v>
      </c>
      <c r="W101" s="2">
        <f t="shared" si="5"/>
        <v>0.3907272605363985</v>
      </c>
    </row>
    <row r="102" spans="1:23">
      <c r="A102" t="s">
        <v>379</v>
      </c>
      <c r="B102" s="1">
        <v>45846</v>
      </c>
      <c r="C102" s="1">
        <v>45852</v>
      </c>
      <c r="D102" t="s">
        <v>380</v>
      </c>
      <c r="E102" t="s">
        <v>381</v>
      </c>
      <c r="F102" t="s">
        <v>23</v>
      </c>
      <c r="G102" t="s">
        <v>156</v>
      </c>
      <c r="H102" t="s">
        <v>157</v>
      </c>
      <c r="I102" t="s">
        <v>57</v>
      </c>
      <c r="J102" t="s">
        <v>27</v>
      </c>
      <c r="K102" t="s">
        <v>179</v>
      </c>
      <c r="L102" t="s">
        <v>180</v>
      </c>
      <c r="M102" t="s">
        <v>181</v>
      </c>
      <c r="N102">
        <v>2</v>
      </c>
      <c r="O102">
        <v>58200</v>
      </c>
      <c r="P102">
        <v>0.15</v>
      </c>
      <c r="Q102">
        <v>98940</v>
      </c>
      <c r="R102">
        <v>63350.559999999998</v>
      </c>
      <c r="S102">
        <v>35589.440000000002</v>
      </c>
      <c r="T102" t="s">
        <v>31</v>
      </c>
      <c r="U102" t="str">
        <f t="shared" si="3"/>
        <v>2025-07</v>
      </c>
      <c r="V102">
        <f t="shared" si="4"/>
        <v>6</v>
      </c>
      <c r="W102" s="2">
        <f t="shared" si="5"/>
        <v>0.35970729735193047</v>
      </c>
    </row>
    <row r="103" spans="1:23">
      <c r="A103" t="s">
        <v>382</v>
      </c>
      <c r="B103" s="1">
        <v>45562</v>
      </c>
      <c r="C103" s="1">
        <v>45566</v>
      </c>
      <c r="D103" t="s">
        <v>299</v>
      </c>
      <c r="E103" t="s">
        <v>383</v>
      </c>
      <c r="F103" t="s">
        <v>54</v>
      </c>
      <c r="G103" t="s">
        <v>156</v>
      </c>
      <c r="H103" t="s">
        <v>157</v>
      </c>
      <c r="I103" t="s">
        <v>57</v>
      </c>
      <c r="J103" t="s">
        <v>36</v>
      </c>
      <c r="K103" t="s">
        <v>81</v>
      </c>
      <c r="L103" t="s">
        <v>215</v>
      </c>
      <c r="M103" t="s">
        <v>216</v>
      </c>
      <c r="N103">
        <v>3</v>
      </c>
      <c r="O103">
        <v>1951300</v>
      </c>
      <c r="P103">
        <v>0</v>
      </c>
      <c r="Q103">
        <v>5853900</v>
      </c>
      <c r="R103">
        <v>3968780.57</v>
      </c>
      <c r="S103">
        <v>1885119.43</v>
      </c>
      <c r="T103" t="s">
        <v>31</v>
      </c>
      <c r="U103" t="str">
        <f t="shared" si="3"/>
        <v>2024-09</v>
      </c>
      <c r="V103">
        <f t="shared" si="4"/>
        <v>4</v>
      </c>
      <c r="W103" s="2">
        <f t="shared" si="5"/>
        <v>0.32202795230530074</v>
      </c>
    </row>
    <row r="104" spans="1:23">
      <c r="A104" t="s">
        <v>384</v>
      </c>
      <c r="B104" s="1">
        <v>45011</v>
      </c>
      <c r="C104" s="1">
        <v>45015</v>
      </c>
      <c r="D104" t="s">
        <v>385</v>
      </c>
      <c r="E104" t="s">
        <v>386</v>
      </c>
      <c r="F104" t="s">
        <v>35</v>
      </c>
      <c r="G104" t="s">
        <v>156</v>
      </c>
      <c r="H104" t="s">
        <v>157</v>
      </c>
      <c r="I104" t="s">
        <v>57</v>
      </c>
      <c r="J104" t="s">
        <v>27</v>
      </c>
      <c r="K104" t="s">
        <v>28</v>
      </c>
      <c r="L104" t="s">
        <v>29</v>
      </c>
      <c r="M104" t="s">
        <v>30</v>
      </c>
      <c r="N104">
        <v>8</v>
      </c>
      <c r="O104">
        <v>67900</v>
      </c>
      <c r="P104">
        <v>0.15</v>
      </c>
      <c r="Q104">
        <v>461720</v>
      </c>
      <c r="R104">
        <v>310593</v>
      </c>
      <c r="S104">
        <v>151127</v>
      </c>
      <c r="T104" t="s">
        <v>73</v>
      </c>
      <c r="U104" t="str">
        <f t="shared" si="3"/>
        <v>2023-03</v>
      </c>
      <c r="V104">
        <f t="shared" si="4"/>
        <v>4</v>
      </c>
      <c r="W104" s="2">
        <f t="shared" si="5"/>
        <v>0.32731309018452742</v>
      </c>
    </row>
    <row r="105" spans="1:23">
      <c r="A105" t="s">
        <v>387</v>
      </c>
      <c r="B105" s="1">
        <v>45280</v>
      </c>
      <c r="C105" s="1">
        <v>45281</v>
      </c>
      <c r="D105" t="s">
        <v>149</v>
      </c>
      <c r="E105" t="s">
        <v>388</v>
      </c>
      <c r="F105" t="s">
        <v>35</v>
      </c>
      <c r="G105" t="s">
        <v>64</v>
      </c>
      <c r="H105" t="s">
        <v>65</v>
      </c>
      <c r="I105" t="s">
        <v>57</v>
      </c>
      <c r="J105" t="s">
        <v>47</v>
      </c>
      <c r="K105" t="s">
        <v>128</v>
      </c>
      <c r="L105" t="s">
        <v>129</v>
      </c>
      <c r="M105" t="s">
        <v>130</v>
      </c>
      <c r="N105">
        <v>2</v>
      </c>
      <c r="O105">
        <v>1597800</v>
      </c>
      <c r="P105">
        <v>0.05</v>
      </c>
      <c r="Q105">
        <v>3035820</v>
      </c>
      <c r="R105">
        <v>2417439.14</v>
      </c>
      <c r="S105">
        <v>618380.86</v>
      </c>
      <c r="T105" t="s">
        <v>73</v>
      </c>
      <c r="U105" t="str">
        <f t="shared" si="3"/>
        <v>2023-12</v>
      </c>
      <c r="V105">
        <f t="shared" si="4"/>
        <v>1</v>
      </c>
      <c r="W105" s="2">
        <f t="shared" si="5"/>
        <v>0.20369483697979457</v>
      </c>
    </row>
    <row r="106" spans="1:23">
      <c r="A106" t="s">
        <v>389</v>
      </c>
      <c r="B106" s="1">
        <v>45612</v>
      </c>
      <c r="C106" s="1">
        <v>45613</v>
      </c>
      <c r="D106" t="s">
        <v>390</v>
      </c>
      <c r="E106" t="s">
        <v>391</v>
      </c>
      <c r="F106" t="s">
        <v>23</v>
      </c>
      <c r="G106" t="s">
        <v>95</v>
      </c>
      <c r="H106" t="s">
        <v>96</v>
      </c>
      <c r="I106" t="s">
        <v>26</v>
      </c>
      <c r="J106" t="s">
        <v>47</v>
      </c>
      <c r="K106" t="s">
        <v>48</v>
      </c>
      <c r="L106" t="s">
        <v>225</v>
      </c>
      <c r="M106" t="s">
        <v>226</v>
      </c>
      <c r="N106">
        <v>2</v>
      </c>
      <c r="O106">
        <v>236500</v>
      </c>
      <c r="P106">
        <v>0</v>
      </c>
      <c r="Q106">
        <v>473000</v>
      </c>
      <c r="R106">
        <v>282516.28999999998</v>
      </c>
      <c r="S106">
        <v>190483.71</v>
      </c>
      <c r="T106" t="s">
        <v>73</v>
      </c>
      <c r="U106" t="str">
        <f t="shared" si="3"/>
        <v>2024-11</v>
      </c>
      <c r="V106">
        <f t="shared" si="4"/>
        <v>1</v>
      </c>
      <c r="W106" s="2">
        <f t="shared" si="5"/>
        <v>0.40271397463002112</v>
      </c>
    </row>
    <row r="107" spans="1:23">
      <c r="A107" t="s">
        <v>392</v>
      </c>
      <c r="B107" s="1">
        <v>45100</v>
      </c>
      <c r="C107" s="1">
        <v>45103</v>
      </c>
      <c r="D107" t="s">
        <v>393</v>
      </c>
      <c r="E107" t="s">
        <v>394</v>
      </c>
      <c r="F107" t="s">
        <v>35</v>
      </c>
      <c r="G107" t="s">
        <v>156</v>
      </c>
      <c r="H107" t="s">
        <v>157</v>
      </c>
      <c r="I107" t="s">
        <v>57</v>
      </c>
      <c r="J107" t="s">
        <v>36</v>
      </c>
      <c r="K107" t="s">
        <v>37</v>
      </c>
      <c r="L107" t="s">
        <v>58</v>
      </c>
      <c r="M107" t="s">
        <v>59</v>
      </c>
      <c r="N107">
        <v>3</v>
      </c>
      <c r="O107">
        <v>864000</v>
      </c>
      <c r="P107">
        <v>0.05</v>
      </c>
      <c r="Q107">
        <v>2462400</v>
      </c>
      <c r="R107">
        <v>1679977.59</v>
      </c>
      <c r="S107">
        <v>782422.41</v>
      </c>
      <c r="T107" t="s">
        <v>31</v>
      </c>
      <c r="U107" t="str">
        <f t="shared" si="3"/>
        <v>2023-06</v>
      </c>
      <c r="V107">
        <f t="shared" si="4"/>
        <v>3</v>
      </c>
      <c r="W107" s="2">
        <f t="shared" si="5"/>
        <v>0.31774789230019496</v>
      </c>
    </row>
    <row r="108" spans="1:23">
      <c r="A108" t="s">
        <v>395</v>
      </c>
      <c r="B108" s="1">
        <v>45922</v>
      </c>
      <c r="C108" s="1">
        <v>45924</v>
      </c>
      <c r="D108" t="s">
        <v>396</v>
      </c>
      <c r="E108" t="s">
        <v>397</v>
      </c>
      <c r="F108" t="s">
        <v>23</v>
      </c>
      <c r="G108" t="s">
        <v>80</v>
      </c>
      <c r="H108" t="s">
        <v>45</v>
      </c>
      <c r="I108" t="s">
        <v>46</v>
      </c>
      <c r="J108" t="s">
        <v>47</v>
      </c>
      <c r="K108" t="s">
        <v>173</v>
      </c>
      <c r="L108" t="s">
        <v>203</v>
      </c>
      <c r="M108" t="s">
        <v>204</v>
      </c>
      <c r="N108">
        <v>2</v>
      </c>
      <c r="O108">
        <v>3260000</v>
      </c>
      <c r="P108">
        <v>0.15</v>
      </c>
      <c r="Q108">
        <v>5542000</v>
      </c>
      <c r="R108">
        <v>5046619.04</v>
      </c>
      <c r="S108">
        <v>495380.96</v>
      </c>
      <c r="T108" t="s">
        <v>31</v>
      </c>
      <c r="U108" t="str">
        <f t="shared" si="3"/>
        <v>2025-09</v>
      </c>
      <c r="V108">
        <f t="shared" si="4"/>
        <v>2</v>
      </c>
      <c r="W108" s="2">
        <f t="shared" si="5"/>
        <v>8.9386676290147959E-2</v>
      </c>
    </row>
    <row r="109" spans="1:23">
      <c r="A109" t="s">
        <v>398</v>
      </c>
      <c r="B109" s="1">
        <v>45195</v>
      </c>
      <c r="C109" s="1">
        <v>45200</v>
      </c>
      <c r="D109" t="s">
        <v>399</v>
      </c>
      <c r="E109" t="s">
        <v>400</v>
      </c>
      <c r="F109" t="s">
        <v>54</v>
      </c>
      <c r="G109" t="s">
        <v>80</v>
      </c>
      <c r="H109" t="s">
        <v>45</v>
      </c>
      <c r="I109" t="s">
        <v>46</v>
      </c>
      <c r="J109" t="s">
        <v>36</v>
      </c>
      <c r="K109" t="s">
        <v>81</v>
      </c>
      <c r="L109" t="s">
        <v>82</v>
      </c>
      <c r="M109" t="s">
        <v>83</v>
      </c>
      <c r="N109">
        <v>4</v>
      </c>
      <c r="O109">
        <v>591200</v>
      </c>
      <c r="P109">
        <v>0.05</v>
      </c>
      <c r="Q109">
        <v>2246560</v>
      </c>
      <c r="R109">
        <v>1579377.86</v>
      </c>
      <c r="S109">
        <v>667182.14</v>
      </c>
      <c r="T109" t="s">
        <v>73</v>
      </c>
      <c r="U109" t="str">
        <f t="shared" si="3"/>
        <v>2023-09</v>
      </c>
      <c r="V109">
        <f t="shared" si="4"/>
        <v>5</v>
      </c>
      <c r="W109" s="2">
        <f t="shared" si="5"/>
        <v>0.29697944412791111</v>
      </c>
    </row>
    <row r="110" spans="1:23">
      <c r="A110" t="s">
        <v>401</v>
      </c>
      <c r="B110" s="1">
        <v>45846</v>
      </c>
      <c r="C110" s="1">
        <v>45848</v>
      </c>
      <c r="D110" t="s">
        <v>402</v>
      </c>
      <c r="E110" t="s">
        <v>403</v>
      </c>
      <c r="F110" t="s">
        <v>54</v>
      </c>
      <c r="G110" t="s">
        <v>64</v>
      </c>
      <c r="H110" t="s">
        <v>65</v>
      </c>
      <c r="I110" t="s">
        <v>57</v>
      </c>
      <c r="J110" t="s">
        <v>36</v>
      </c>
      <c r="K110" t="s">
        <v>89</v>
      </c>
      <c r="L110" t="s">
        <v>151</v>
      </c>
      <c r="M110" t="s">
        <v>152</v>
      </c>
      <c r="N110">
        <v>2</v>
      </c>
      <c r="O110">
        <v>1385500</v>
      </c>
      <c r="P110">
        <v>0.3</v>
      </c>
      <c r="Q110">
        <v>1939700</v>
      </c>
      <c r="R110">
        <v>1875169.86</v>
      </c>
      <c r="S110">
        <v>64530.14</v>
      </c>
      <c r="T110" t="s">
        <v>73</v>
      </c>
      <c r="U110" t="str">
        <f t="shared" si="3"/>
        <v>2025-07</v>
      </c>
      <c r="V110">
        <f t="shared" si="4"/>
        <v>2</v>
      </c>
      <c r="W110" s="2">
        <f t="shared" si="5"/>
        <v>3.3268103314945612E-2</v>
      </c>
    </row>
    <row r="111" spans="1:23">
      <c r="A111" t="s">
        <v>404</v>
      </c>
      <c r="B111" s="1">
        <v>45956</v>
      </c>
      <c r="C111" s="1">
        <v>45961</v>
      </c>
      <c r="D111" t="s">
        <v>405</v>
      </c>
      <c r="E111" t="s">
        <v>406</v>
      </c>
      <c r="F111" t="s">
        <v>35</v>
      </c>
      <c r="G111" t="s">
        <v>24</v>
      </c>
      <c r="H111" t="s">
        <v>25</v>
      </c>
      <c r="I111" t="s">
        <v>26</v>
      </c>
      <c r="J111" t="s">
        <v>36</v>
      </c>
      <c r="K111" t="s">
        <v>81</v>
      </c>
      <c r="L111" t="s">
        <v>82</v>
      </c>
      <c r="M111" t="s">
        <v>83</v>
      </c>
      <c r="N111">
        <v>5</v>
      </c>
      <c r="O111">
        <v>592500</v>
      </c>
      <c r="P111">
        <v>0.05</v>
      </c>
      <c r="Q111">
        <v>2814375</v>
      </c>
      <c r="R111">
        <v>1892696.36</v>
      </c>
      <c r="S111">
        <v>921678.64</v>
      </c>
      <c r="T111" t="s">
        <v>73</v>
      </c>
      <c r="U111" t="str">
        <f t="shared" si="3"/>
        <v>2025-10</v>
      </c>
      <c r="V111">
        <f t="shared" si="4"/>
        <v>5</v>
      </c>
      <c r="W111" s="2">
        <f t="shared" si="5"/>
        <v>0.32748963446591162</v>
      </c>
    </row>
    <row r="112" spans="1:23">
      <c r="A112" t="s">
        <v>407</v>
      </c>
      <c r="B112" s="1">
        <v>45983</v>
      </c>
      <c r="C112" s="1">
        <v>45990</v>
      </c>
      <c r="D112" t="s">
        <v>377</v>
      </c>
      <c r="E112" t="s">
        <v>408</v>
      </c>
      <c r="F112" t="s">
        <v>23</v>
      </c>
      <c r="G112" t="s">
        <v>80</v>
      </c>
      <c r="H112" t="s">
        <v>45</v>
      </c>
      <c r="I112" t="s">
        <v>46</v>
      </c>
      <c r="J112" t="s">
        <v>47</v>
      </c>
      <c r="K112" t="s">
        <v>142</v>
      </c>
      <c r="L112" t="s">
        <v>143</v>
      </c>
      <c r="M112" t="s">
        <v>144</v>
      </c>
      <c r="N112">
        <v>5</v>
      </c>
      <c r="O112">
        <v>5613100</v>
      </c>
      <c r="P112">
        <v>0.25</v>
      </c>
      <c r="Q112">
        <v>21049125</v>
      </c>
      <c r="R112">
        <v>23713583.260000002</v>
      </c>
      <c r="S112">
        <v>-2664458.2599999998</v>
      </c>
      <c r="T112" t="s">
        <v>73</v>
      </c>
      <c r="U112" t="str">
        <f t="shared" si="3"/>
        <v>2025-11</v>
      </c>
      <c r="V112">
        <f t="shared" si="4"/>
        <v>7</v>
      </c>
      <c r="W112" s="2">
        <f t="shared" si="5"/>
        <v>-0.12658285130617067</v>
      </c>
    </row>
    <row r="113" spans="1:23">
      <c r="A113" t="s">
        <v>409</v>
      </c>
      <c r="B113" s="1">
        <v>45776</v>
      </c>
      <c r="C113" s="1">
        <v>45777</v>
      </c>
      <c r="D113" t="s">
        <v>410</v>
      </c>
      <c r="E113" t="s">
        <v>411</v>
      </c>
      <c r="F113" t="s">
        <v>23</v>
      </c>
      <c r="G113" t="s">
        <v>24</v>
      </c>
      <c r="H113" t="s">
        <v>25</v>
      </c>
      <c r="I113" t="s">
        <v>26</v>
      </c>
      <c r="J113" t="s">
        <v>36</v>
      </c>
      <c r="K113" t="s">
        <v>89</v>
      </c>
      <c r="L113" t="s">
        <v>151</v>
      </c>
      <c r="M113" t="s">
        <v>152</v>
      </c>
      <c r="N113">
        <v>2</v>
      </c>
      <c r="O113">
        <v>1132800</v>
      </c>
      <c r="P113">
        <v>0.25</v>
      </c>
      <c r="Q113">
        <v>1699200</v>
      </c>
      <c r="R113">
        <v>1607652.21</v>
      </c>
      <c r="S113">
        <v>91547.79</v>
      </c>
      <c r="T113" t="s">
        <v>31</v>
      </c>
      <c r="U113" t="str">
        <f t="shared" si="3"/>
        <v>2025-04</v>
      </c>
      <c r="V113">
        <f t="shared" si="4"/>
        <v>1</v>
      </c>
      <c r="W113" s="2">
        <f t="shared" si="5"/>
        <v>5.3876995056497172E-2</v>
      </c>
    </row>
    <row r="114" spans="1:23">
      <c r="A114" t="s">
        <v>412</v>
      </c>
      <c r="B114" s="1">
        <v>45208</v>
      </c>
      <c r="C114" s="1">
        <v>45209</v>
      </c>
      <c r="D114" t="s">
        <v>413</v>
      </c>
      <c r="E114" t="s">
        <v>414</v>
      </c>
      <c r="F114" t="s">
        <v>35</v>
      </c>
      <c r="G114" t="s">
        <v>80</v>
      </c>
      <c r="H114" t="s">
        <v>45</v>
      </c>
      <c r="I114" t="s">
        <v>46</v>
      </c>
      <c r="J114" t="s">
        <v>47</v>
      </c>
      <c r="K114" t="s">
        <v>128</v>
      </c>
      <c r="L114" t="s">
        <v>129</v>
      </c>
      <c r="M114" t="s">
        <v>130</v>
      </c>
      <c r="N114">
        <v>2</v>
      </c>
      <c r="O114">
        <v>1306700</v>
      </c>
      <c r="P114">
        <v>0</v>
      </c>
      <c r="Q114">
        <v>2613400</v>
      </c>
      <c r="R114">
        <v>1850168.24</v>
      </c>
      <c r="S114">
        <v>763231.76</v>
      </c>
      <c r="T114" t="s">
        <v>40</v>
      </c>
      <c r="U114" t="str">
        <f t="shared" si="3"/>
        <v>2023-10</v>
      </c>
      <c r="V114">
        <f t="shared" si="4"/>
        <v>1</v>
      </c>
      <c r="W114" s="2">
        <f t="shared" si="5"/>
        <v>0.29204551924695799</v>
      </c>
    </row>
    <row r="115" spans="1:23">
      <c r="A115" t="s">
        <v>415</v>
      </c>
      <c r="B115" s="1">
        <v>46007</v>
      </c>
      <c r="C115" s="1">
        <v>46011</v>
      </c>
      <c r="D115" t="s">
        <v>416</v>
      </c>
      <c r="E115" t="s">
        <v>417</v>
      </c>
      <c r="F115" t="s">
        <v>23</v>
      </c>
      <c r="G115" t="s">
        <v>24</v>
      </c>
      <c r="H115" t="s">
        <v>25</v>
      </c>
      <c r="I115" t="s">
        <v>26</v>
      </c>
      <c r="J115" t="s">
        <v>47</v>
      </c>
      <c r="K115" t="s">
        <v>48</v>
      </c>
      <c r="L115" t="s">
        <v>66</v>
      </c>
      <c r="M115" t="s">
        <v>67</v>
      </c>
      <c r="N115">
        <v>1</v>
      </c>
      <c r="O115">
        <v>130100</v>
      </c>
      <c r="P115">
        <v>0.1</v>
      </c>
      <c r="Q115">
        <v>117090</v>
      </c>
      <c r="R115">
        <v>72301.210000000006</v>
      </c>
      <c r="S115">
        <v>44788.79</v>
      </c>
      <c r="T115" t="s">
        <v>31</v>
      </c>
      <c r="U115" t="str">
        <f t="shared" si="3"/>
        <v>2025-12</v>
      </c>
      <c r="V115">
        <f t="shared" si="4"/>
        <v>4</v>
      </c>
      <c r="W115" s="2">
        <f t="shared" si="5"/>
        <v>0.38251592791869504</v>
      </c>
    </row>
    <row r="116" spans="1:23">
      <c r="A116" t="s">
        <v>418</v>
      </c>
      <c r="B116" s="1">
        <v>44960</v>
      </c>
      <c r="C116" s="1">
        <v>44966</v>
      </c>
      <c r="D116" t="s">
        <v>385</v>
      </c>
      <c r="E116" t="s">
        <v>419</v>
      </c>
      <c r="F116" t="s">
        <v>23</v>
      </c>
      <c r="G116" t="s">
        <v>80</v>
      </c>
      <c r="H116" t="s">
        <v>45</v>
      </c>
      <c r="I116" t="s">
        <v>46</v>
      </c>
      <c r="J116" t="s">
        <v>36</v>
      </c>
      <c r="K116" t="s">
        <v>81</v>
      </c>
      <c r="L116" t="s">
        <v>82</v>
      </c>
      <c r="M116" t="s">
        <v>83</v>
      </c>
      <c r="N116">
        <v>3</v>
      </c>
      <c r="O116">
        <v>619400</v>
      </c>
      <c r="P116">
        <v>0.05</v>
      </c>
      <c r="Q116">
        <v>1765290</v>
      </c>
      <c r="R116">
        <v>1232498.8899999999</v>
      </c>
      <c r="S116">
        <v>532791.11</v>
      </c>
      <c r="T116" t="s">
        <v>31</v>
      </c>
      <c r="U116" t="str">
        <f t="shared" si="3"/>
        <v>2023-02</v>
      </c>
      <c r="V116">
        <f t="shared" si="4"/>
        <v>6</v>
      </c>
      <c r="W116" s="2">
        <f t="shared" si="5"/>
        <v>0.30181506154796095</v>
      </c>
    </row>
    <row r="117" spans="1:23">
      <c r="A117" t="s">
        <v>420</v>
      </c>
      <c r="B117" s="1">
        <v>45065</v>
      </c>
      <c r="C117" s="1">
        <v>45070</v>
      </c>
      <c r="D117" t="s">
        <v>421</v>
      </c>
      <c r="E117" t="s">
        <v>422</v>
      </c>
      <c r="F117" t="s">
        <v>23</v>
      </c>
      <c r="G117" t="s">
        <v>87</v>
      </c>
      <c r="H117" t="s">
        <v>88</v>
      </c>
      <c r="I117" t="s">
        <v>46</v>
      </c>
      <c r="J117" t="s">
        <v>36</v>
      </c>
      <c r="K117" t="s">
        <v>37</v>
      </c>
      <c r="L117" t="s">
        <v>38</v>
      </c>
      <c r="M117" t="s">
        <v>39</v>
      </c>
      <c r="N117">
        <v>1</v>
      </c>
      <c r="O117">
        <v>965400</v>
      </c>
      <c r="P117">
        <v>0.05</v>
      </c>
      <c r="Q117">
        <v>917130</v>
      </c>
      <c r="R117">
        <v>687425.41</v>
      </c>
      <c r="S117">
        <v>229704.59</v>
      </c>
      <c r="T117" t="s">
        <v>40</v>
      </c>
      <c r="U117" t="str">
        <f t="shared" si="3"/>
        <v>2023-05</v>
      </c>
      <c r="V117">
        <f t="shared" si="4"/>
        <v>5</v>
      </c>
      <c r="W117" s="2">
        <f t="shared" si="5"/>
        <v>0.25046022919324412</v>
      </c>
    </row>
    <row r="118" spans="1:23">
      <c r="A118" t="s">
        <v>423</v>
      </c>
      <c r="B118" s="1">
        <v>45633</v>
      </c>
      <c r="C118" s="1">
        <v>45635</v>
      </c>
      <c r="D118" t="s">
        <v>198</v>
      </c>
      <c r="E118" t="s">
        <v>424</v>
      </c>
      <c r="F118" t="s">
        <v>35</v>
      </c>
      <c r="G118" t="s">
        <v>55</v>
      </c>
      <c r="H118" t="s">
        <v>56</v>
      </c>
      <c r="I118" t="s">
        <v>57</v>
      </c>
      <c r="J118" t="s">
        <v>27</v>
      </c>
      <c r="K118" t="s">
        <v>100</v>
      </c>
      <c r="L118" t="s">
        <v>105</v>
      </c>
      <c r="M118" t="s">
        <v>106</v>
      </c>
      <c r="N118">
        <v>1</v>
      </c>
      <c r="O118">
        <v>74300</v>
      </c>
      <c r="P118">
        <v>0.05</v>
      </c>
      <c r="Q118">
        <v>70585</v>
      </c>
      <c r="R118">
        <v>44540.38</v>
      </c>
      <c r="S118">
        <v>26044.62</v>
      </c>
      <c r="T118" t="s">
        <v>60</v>
      </c>
      <c r="U118" t="str">
        <f t="shared" si="3"/>
        <v>2024-12</v>
      </c>
      <c r="V118">
        <f t="shared" si="4"/>
        <v>2</v>
      </c>
      <c r="W118" s="2">
        <f t="shared" si="5"/>
        <v>0.3689823616915775</v>
      </c>
    </row>
    <row r="119" spans="1:23">
      <c r="A119" t="s">
        <v>425</v>
      </c>
      <c r="B119" s="1">
        <v>45300</v>
      </c>
      <c r="C119" s="1">
        <v>45307</v>
      </c>
      <c r="D119" t="s">
        <v>426</v>
      </c>
      <c r="E119" t="s">
        <v>427</v>
      </c>
      <c r="F119" t="s">
        <v>23</v>
      </c>
      <c r="G119" t="s">
        <v>140</v>
      </c>
      <c r="H119" t="s">
        <v>141</v>
      </c>
      <c r="I119" t="s">
        <v>46</v>
      </c>
      <c r="J119" t="s">
        <v>47</v>
      </c>
      <c r="K119" t="s">
        <v>128</v>
      </c>
      <c r="L119" t="s">
        <v>129</v>
      </c>
      <c r="M119" t="s">
        <v>130</v>
      </c>
      <c r="N119">
        <v>4</v>
      </c>
      <c r="O119">
        <v>1587600</v>
      </c>
      <c r="P119">
        <v>0</v>
      </c>
      <c r="Q119">
        <v>6350400</v>
      </c>
      <c r="R119">
        <v>4527981.91</v>
      </c>
      <c r="S119">
        <v>1822418.09</v>
      </c>
      <c r="T119" t="s">
        <v>31</v>
      </c>
      <c r="U119" t="str">
        <f t="shared" si="3"/>
        <v>2024-01</v>
      </c>
      <c r="V119">
        <f t="shared" si="4"/>
        <v>7</v>
      </c>
      <c r="W119" s="2">
        <f t="shared" si="5"/>
        <v>0.2869768975182666</v>
      </c>
    </row>
    <row r="120" spans="1:23">
      <c r="A120" t="s">
        <v>428</v>
      </c>
      <c r="B120" s="1">
        <v>45896</v>
      </c>
      <c r="C120" s="1">
        <v>45899</v>
      </c>
      <c r="D120" t="s">
        <v>429</v>
      </c>
      <c r="E120" t="s">
        <v>430</v>
      </c>
      <c r="F120" t="s">
        <v>23</v>
      </c>
      <c r="G120" t="s">
        <v>95</v>
      </c>
      <c r="H120" t="s">
        <v>96</v>
      </c>
      <c r="I120" t="s">
        <v>26</v>
      </c>
      <c r="J120" t="s">
        <v>47</v>
      </c>
      <c r="K120" t="s">
        <v>173</v>
      </c>
      <c r="L120" t="s">
        <v>174</v>
      </c>
      <c r="M120" t="s">
        <v>175</v>
      </c>
      <c r="N120">
        <v>5</v>
      </c>
      <c r="O120">
        <v>4573200</v>
      </c>
      <c r="P120">
        <v>0</v>
      </c>
      <c r="Q120">
        <v>22866000</v>
      </c>
      <c r="R120">
        <v>17112499.829999998</v>
      </c>
      <c r="S120">
        <v>5753500.1699999999</v>
      </c>
      <c r="T120" t="s">
        <v>31</v>
      </c>
      <c r="U120" t="str">
        <f t="shared" si="3"/>
        <v>2025-08</v>
      </c>
      <c r="V120">
        <f t="shared" si="4"/>
        <v>3</v>
      </c>
      <c r="W120" s="2">
        <f t="shared" si="5"/>
        <v>0.25161813041196535</v>
      </c>
    </row>
    <row r="121" spans="1:23">
      <c r="A121" t="s">
        <v>431</v>
      </c>
      <c r="B121" s="1">
        <v>45718</v>
      </c>
      <c r="C121" s="1">
        <v>45721</v>
      </c>
      <c r="D121" t="s">
        <v>393</v>
      </c>
      <c r="E121" t="s">
        <v>432</v>
      </c>
      <c r="F121" t="s">
        <v>23</v>
      </c>
      <c r="G121" t="s">
        <v>64</v>
      </c>
      <c r="H121" t="s">
        <v>65</v>
      </c>
      <c r="I121" t="s">
        <v>57</v>
      </c>
      <c r="J121" t="s">
        <v>27</v>
      </c>
      <c r="K121" t="s">
        <v>116</v>
      </c>
      <c r="L121" t="s">
        <v>207</v>
      </c>
      <c r="M121" t="s">
        <v>208</v>
      </c>
      <c r="N121">
        <v>4</v>
      </c>
      <c r="O121">
        <v>121900</v>
      </c>
      <c r="P121">
        <v>0</v>
      </c>
      <c r="Q121">
        <v>487600</v>
      </c>
      <c r="R121">
        <v>285802.74</v>
      </c>
      <c r="S121">
        <v>201797.26</v>
      </c>
      <c r="T121" t="s">
        <v>60</v>
      </c>
      <c r="U121" t="str">
        <f t="shared" si="3"/>
        <v>2025-03</v>
      </c>
      <c r="V121">
        <f t="shared" si="4"/>
        <v>3</v>
      </c>
      <c r="W121" s="2">
        <f t="shared" si="5"/>
        <v>0.4138582034454471</v>
      </c>
    </row>
    <row r="122" spans="1:23">
      <c r="A122" t="s">
        <v>433</v>
      </c>
      <c r="B122" s="1">
        <v>45584</v>
      </c>
      <c r="C122" s="1">
        <v>45585</v>
      </c>
      <c r="D122" t="s">
        <v>380</v>
      </c>
      <c r="E122" t="s">
        <v>336</v>
      </c>
      <c r="F122" t="s">
        <v>23</v>
      </c>
      <c r="G122" t="s">
        <v>95</v>
      </c>
      <c r="H122" t="s">
        <v>96</v>
      </c>
      <c r="I122" t="s">
        <v>26</v>
      </c>
      <c r="J122" t="s">
        <v>47</v>
      </c>
      <c r="K122" t="s">
        <v>48</v>
      </c>
      <c r="L122" t="s">
        <v>66</v>
      </c>
      <c r="M122" t="s">
        <v>67</v>
      </c>
      <c r="N122">
        <v>1</v>
      </c>
      <c r="O122">
        <v>124700</v>
      </c>
      <c r="P122">
        <v>0.05</v>
      </c>
      <c r="Q122">
        <v>118465</v>
      </c>
      <c r="R122">
        <v>75543.490000000005</v>
      </c>
      <c r="S122">
        <v>42921.51</v>
      </c>
      <c r="T122" t="s">
        <v>40</v>
      </c>
      <c r="U122" t="str">
        <f t="shared" si="3"/>
        <v>2024-10</v>
      </c>
      <c r="V122">
        <f t="shared" si="4"/>
        <v>1</v>
      </c>
      <c r="W122" s="2">
        <f t="shared" si="5"/>
        <v>0.36231384797197486</v>
      </c>
    </row>
    <row r="123" spans="1:23">
      <c r="A123" t="s">
        <v>434</v>
      </c>
      <c r="B123" s="1">
        <v>45489</v>
      </c>
      <c r="C123" s="1">
        <v>45495</v>
      </c>
      <c r="D123" t="s">
        <v>435</v>
      </c>
      <c r="E123" t="s">
        <v>436</v>
      </c>
      <c r="F123" t="s">
        <v>35</v>
      </c>
      <c r="G123" t="s">
        <v>44</v>
      </c>
      <c r="H123" t="s">
        <v>45</v>
      </c>
      <c r="I123" t="s">
        <v>46</v>
      </c>
      <c r="J123" t="s">
        <v>27</v>
      </c>
      <c r="K123" t="s">
        <v>100</v>
      </c>
      <c r="L123" t="s">
        <v>101</v>
      </c>
      <c r="M123" t="s">
        <v>102</v>
      </c>
      <c r="N123">
        <v>2</v>
      </c>
      <c r="O123">
        <v>62400</v>
      </c>
      <c r="P123">
        <v>0.1</v>
      </c>
      <c r="Q123">
        <v>112320</v>
      </c>
      <c r="R123">
        <v>73709.929999999993</v>
      </c>
      <c r="S123">
        <v>38610.07</v>
      </c>
      <c r="T123" t="s">
        <v>40</v>
      </c>
      <c r="U123" t="str">
        <f t="shared" si="3"/>
        <v>2024-07</v>
      </c>
      <c r="V123">
        <f t="shared" si="4"/>
        <v>6</v>
      </c>
      <c r="W123" s="2">
        <f t="shared" si="5"/>
        <v>0.34375062321937322</v>
      </c>
    </row>
    <row r="124" spans="1:23">
      <c r="A124" t="s">
        <v>437</v>
      </c>
      <c r="B124" s="1">
        <v>45824</v>
      </c>
      <c r="C124" s="1">
        <v>45825</v>
      </c>
      <c r="D124" t="s">
        <v>438</v>
      </c>
      <c r="E124" t="s">
        <v>439</v>
      </c>
      <c r="F124" t="s">
        <v>23</v>
      </c>
      <c r="G124" t="s">
        <v>156</v>
      </c>
      <c r="H124" t="s">
        <v>157</v>
      </c>
      <c r="I124" t="s">
        <v>57</v>
      </c>
      <c r="J124" t="s">
        <v>47</v>
      </c>
      <c r="K124" t="s">
        <v>173</v>
      </c>
      <c r="L124" t="s">
        <v>174</v>
      </c>
      <c r="M124" t="s">
        <v>175</v>
      </c>
      <c r="N124">
        <v>3</v>
      </c>
      <c r="O124">
        <v>4932200</v>
      </c>
      <c r="P124">
        <v>0.25</v>
      </c>
      <c r="Q124">
        <v>11097450</v>
      </c>
      <c r="R124">
        <v>11079269.48</v>
      </c>
      <c r="S124">
        <v>18180.52</v>
      </c>
      <c r="T124" t="s">
        <v>31</v>
      </c>
      <c r="U124" t="str">
        <f t="shared" si="3"/>
        <v>2025-06</v>
      </c>
      <c r="V124">
        <f t="shared" si="4"/>
        <v>1</v>
      </c>
      <c r="W124" s="2">
        <f t="shared" si="5"/>
        <v>1.6382610419510789E-3</v>
      </c>
    </row>
    <row r="125" spans="1:23">
      <c r="A125" t="s">
        <v>440</v>
      </c>
      <c r="B125" s="1">
        <v>46011</v>
      </c>
      <c r="C125" s="1">
        <v>46014</v>
      </c>
      <c r="D125" t="s">
        <v>441</v>
      </c>
      <c r="E125" t="s">
        <v>442</v>
      </c>
      <c r="F125" t="s">
        <v>23</v>
      </c>
      <c r="G125" t="s">
        <v>95</v>
      </c>
      <c r="H125" t="s">
        <v>96</v>
      </c>
      <c r="I125" t="s">
        <v>26</v>
      </c>
      <c r="J125" t="s">
        <v>36</v>
      </c>
      <c r="K125" t="s">
        <v>37</v>
      </c>
      <c r="L125" t="s">
        <v>58</v>
      </c>
      <c r="M125" t="s">
        <v>59</v>
      </c>
      <c r="N125">
        <v>1</v>
      </c>
      <c r="O125">
        <v>818600</v>
      </c>
      <c r="P125">
        <v>0.05</v>
      </c>
      <c r="Q125">
        <v>777670</v>
      </c>
      <c r="R125">
        <v>568676.79</v>
      </c>
      <c r="S125">
        <v>208993.21</v>
      </c>
      <c r="T125" t="s">
        <v>31</v>
      </c>
      <c r="U125" t="str">
        <f t="shared" si="3"/>
        <v>2025-12</v>
      </c>
      <c r="V125">
        <f t="shared" si="4"/>
        <v>3</v>
      </c>
      <c r="W125" s="2">
        <f t="shared" si="5"/>
        <v>0.26874279578741622</v>
      </c>
    </row>
    <row r="126" spans="1:23">
      <c r="A126" t="s">
        <v>443</v>
      </c>
      <c r="B126" s="1">
        <v>45460</v>
      </c>
      <c r="C126" s="1">
        <v>45466</v>
      </c>
      <c r="D126" t="s">
        <v>399</v>
      </c>
      <c r="E126" t="s">
        <v>329</v>
      </c>
      <c r="F126" t="s">
        <v>35</v>
      </c>
      <c r="G126" t="s">
        <v>95</v>
      </c>
      <c r="H126" t="s">
        <v>96</v>
      </c>
      <c r="I126" t="s">
        <v>26</v>
      </c>
      <c r="J126" t="s">
        <v>36</v>
      </c>
      <c r="K126" t="s">
        <v>37</v>
      </c>
      <c r="L126" t="s">
        <v>38</v>
      </c>
      <c r="M126" t="s">
        <v>39</v>
      </c>
      <c r="N126">
        <v>1</v>
      </c>
      <c r="O126">
        <v>911300</v>
      </c>
      <c r="P126">
        <v>0</v>
      </c>
      <c r="Q126">
        <v>911300</v>
      </c>
      <c r="R126">
        <v>602608.81000000006</v>
      </c>
      <c r="S126">
        <v>308691.19</v>
      </c>
      <c r="T126" t="s">
        <v>40</v>
      </c>
      <c r="U126" t="str">
        <f t="shared" si="3"/>
        <v>2024-06</v>
      </c>
      <c r="V126">
        <f t="shared" si="4"/>
        <v>6</v>
      </c>
      <c r="W126" s="2">
        <f t="shared" si="5"/>
        <v>0.33873717765829037</v>
      </c>
    </row>
    <row r="127" spans="1:23">
      <c r="A127" t="s">
        <v>444</v>
      </c>
      <c r="B127" s="1">
        <v>45581</v>
      </c>
      <c r="C127" s="1">
        <v>45587</v>
      </c>
      <c r="D127" t="s">
        <v>236</v>
      </c>
      <c r="E127" t="s">
        <v>445</v>
      </c>
      <c r="F127" t="s">
        <v>35</v>
      </c>
      <c r="G127" t="s">
        <v>87</v>
      </c>
      <c r="H127" t="s">
        <v>88</v>
      </c>
      <c r="I127" t="s">
        <v>46</v>
      </c>
      <c r="J127" t="s">
        <v>36</v>
      </c>
      <c r="K127" t="s">
        <v>81</v>
      </c>
      <c r="L127" t="s">
        <v>215</v>
      </c>
      <c r="M127" t="s">
        <v>216</v>
      </c>
      <c r="N127">
        <v>5</v>
      </c>
      <c r="O127">
        <v>1849000</v>
      </c>
      <c r="P127">
        <v>0.25</v>
      </c>
      <c r="Q127">
        <v>6933750</v>
      </c>
      <c r="R127">
        <v>6302452.0499999998</v>
      </c>
      <c r="S127">
        <v>631297.94999999995</v>
      </c>
      <c r="T127" t="s">
        <v>60</v>
      </c>
      <c r="U127" t="str">
        <f t="shared" si="3"/>
        <v>2024-10</v>
      </c>
      <c r="V127">
        <f t="shared" si="4"/>
        <v>6</v>
      </c>
      <c r="W127" s="2">
        <f t="shared" si="5"/>
        <v>9.1047117360735522E-2</v>
      </c>
    </row>
    <row r="128" spans="1:23">
      <c r="A128" t="s">
        <v>446</v>
      </c>
      <c r="B128" s="1">
        <v>45175</v>
      </c>
      <c r="C128" s="1">
        <v>45177</v>
      </c>
      <c r="D128" t="s">
        <v>447</v>
      </c>
      <c r="E128" t="s">
        <v>448</v>
      </c>
      <c r="F128" t="s">
        <v>23</v>
      </c>
      <c r="G128" t="s">
        <v>64</v>
      </c>
      <c r="H128" t="s">
        <v>65</v>
      </c>
      <c r="I128" t="s">
        <v>57</v>
      </c>
      <c r="J128" t="s">
        <v>27</v>
      </c>
      <c r="K128" t="s">
        <v>28</v>
      </c>
      <c r="L128" t="s">
        <v>29</v>
      </c>
      <c r="M128" t="s">
        <v>30</v>
      </c>
      <c r="N128">
        <v>2</v>
      </c>
      <c r="O128">
        <v>75900</v>
      </c>
      <c r="P128">
        <v>0</v>
      </c>
      <c r="Q128">
        <v>151800</v>
      </c>
      <c r="R128">
        <v>87296.25</v>
      </c>
      <c r="S128">
        <v>64503.75</v>
      </c>
      <c r="T128" t="s">
        <v>60</v>
      </c>
      <c r="U128" t="str">
        <f t="shared" si="3"/>
        <v>2023-09</v>
      </c>
      <c r="V128">
        <f t="shared" si="4"/>
        <v>2</v>
      </c>
      <c r="W128" s="2">
        <f t="shared" si="5"/>
        <v>0.42492588932806324</v>
      </c>
    </row>
    <row r="129" spans="1:23">
      <c r="A129" t="s">
        <v>449</v>
      </c>
      <c r="B129" s="1">
        <v>45907</v>
      </c>
      <c r="C129" s="1">
        <v>45912</v>
      </c>
      <c r="D129" t="s">
        <v>450</v>
      </c>
      <c r="E129" t="s">
        <v>451</v>
      </c>
      <c r="F129" t="s">
        <v>23</v>
      </c>
      <c r="G129" t="s">
        <v>55</v>
      </c>
      <c r="H129" t="s">
        <v>56</v>
      </c>
      <c r="I129" t="s">
        <v>57</v>
      </c>
      <c r="J129" t="s">
        <v>36</v>
      </c>
      <c r="K129" t="s">
        <v>89</v>
      </c>
      <c r="L129" t="s">
        <v>90</v>
      </c>
      <c r="M129" t="s">
        <v>91</v>
      </c>
      <c r="N129">
        <v>3</v>
      </c>
      <c r="O129">
        <v>3146800</v>
      </c>
      <c r="P129">
        <v>0.1</v>
      </c>
      <c r="Q129">
        <v>8496360</v>
      </c>
      <c r="R129">
        <v>6573830.5199999996</v>
      </c>
      <c r="S129">
        <v>1922529.48</v>
      </c>
      <c r="T129" t="s">
        <v>60</v>
      </c>
      <c r="U129" t="str">
        <f t="shared" si="3"/>
        <v>2025-09</v>
      </c>
      <c r="V129">
        <f t="shared" si="4"/>
        <v>5</v>
      </c>
      <c r="W129" s="2">
        <f t="shared" si="5"/>
        <v>0.22627683855203876</v>
      </c>
    </row>
    <row r="130" spans="1:23">
      <c r="A130" t="s">
        <v>452</v>
      </c>
      <c r="B130" s="1">
        <v>45813</v>
      </c>
      <c r="C130" s="1">
        <v>45818</v>
      </c>
      <c r="D130" t="s">
        <v>257</v>
      </c>
      <c r="E130" t="s">
        <v>294</v>
      </c>
      <c r="F130" t="s">
        <v>23</v>
      </c>
      <c r="G130" t="s">
        <v>44</v>
      </c>
      <c r="H130" t="s">
        <v>45</v>
      </c>
      <c r="I130" t="s">
        <v>46</v>
      </c>
      <c r="J130" t="s">
        <v>27</v>
      </c>
      <c r="K130" t="s">
        <v>100</v>
      </c>
      <c r="L130" t="s">
        <v>101</v>
      </c>
      <c r="M130" t="s">
        <v>102</v>
      </c>
      <c r="N130">
        <v>1</v>
      </c>
      <c r="O130">
        <v>56300</v>
      </c>
      <c r="P130">
        <v>0.15</v>
      </c>
      <c r="Q130">
        <v>47855</v>
      </c>
      <c r="R130">
        <v>30809.65</v>
      </c>
      <c r="S130">
        <v>17045.349999999999</v>
      </c>
      <c r="T130" t="s">
        <v>60</v>
      </c>
      <c r="U130" t="str">
        <f t="shared" si="3"/>
        <v>2025-06</v>
      </c>
      <c r="V130">
        <f t="shared" si="4"/>
        <v>5</v>
      </c>
      <c r="W130" s="2">
        <f t="shared" si="5"/>
        <v>0.35618744122871171</v>
      </c>
    </row>
    <row r="131" spans="1:23">
      <c r="A131" t="s">
        <v>453</v>
      </c>
      <c r="B131" s="1">
        <v>45440</v>
      </c>
      <c r="C131" s="1">
        <v>45442</v>
      </c>
      <c r="D131" t="s">
        <v>396</v>
      </c>
      <c r="E131" t="s">
        <v>454</v>
      </c>
      <c r="F131" t="s">
        <v>35</v>
      </c>
      <c r="G131" t="s">
        <v>80</v>
      </c>
      <c r="H131" t="s">
        <v>45</v>
      </c>
      <c r="I131" t="s">
        <v>46</v>
      </c>
      <c r="J131" t="s">
        <v>27</v>
      </c>
      <c r="K131" t="s">
        <v>179</v>
      </c>
      <c r="L131" t="s">
        <v>244</v>
      </c>
      <c r="M131" t="s">
        <v>245</v>
      </c>
      <c r="N131">
        <v>2</v>
      </c>
      <c r="O131">
        <v>35600</v>
      </c>
      <c r="P131">
        <v>0.25</v>
      </c>
      <c r="Q131">
        <v>53400</v>
      </c>
      <c r="R131">
        <v>34533.61</v>
      </c>
      <c r="S131">
        <v>18866.39</v>
      </c>
      <c r="T131" t="s">
        <v>31</v>
      </c>
      <c r="U131" t="str">
        <f t="shared" ref="U131:U194" si="6">TEXT(B131,"yyyy-mm")</f>
        <v>2024-05</v>
      </c>
      <c r="V131">
        <f t="shared" ref="V131:V194" si="7">C131-B131</f>
        <v>2</v>
      </c>
      <c r="W131" s="2">
        <f t="shared" ref="W131:W194" si="8">IF(Q131=0,0,S131/Q131)</f>
        <v>0.35330318352059925</v>
      </c>
    </row>
    <row r="132" spans="1:23">
      <c r="A132" t="s">
        <v>455</v>
      </c>
      <c r="B132" s="1">
        <v>45011</v>
      </c>
      <c r="C132" s="1">
        <v>45018</v>
      </c>
      <c r="D132" t="s">
        <v>456</v>
      </c>
      <c r="E132" t="s">
        <v>457</v>
      </c>
      <c r="F132" t="s">
        <v>54</v>
      </c>
      <c r="G132" t="s">
        <v>140</v>
      </c>
      <c r="H132" t="s">
        <v>141</v>
      </c>
      <c r="I132" t="s">
        <v>46</v>
      </c>
      <c r="J132" t="s">
        <v>27</v>
      </c>
      <c r="K132" t="s">
        <v>100</v>
      </c>
      <c r="L132" t="s">
        <v>105</v>
      </c>
      <c r="M132" t="s">
        <v>106</v>
      </c>
      <c r="N132">
        <v>3</v>
      </c>
      <c r="O132">
        <v>81200</v>
      </c>
      <c r="P132">
        <v>0.05</v>
      </c>
      <c r="Q132">
        <v>231420</v>
      </c>
      <c r="R132">
        <v>145960.23000000001</v>
      </c>
      <c r="S132">
        <v>85459.77</v>
      </c>
      <c r="T132" t="s">
        <v>60</v>
      </c>
      <c r="U132" t="str">
        <f t="shared" si="6"/>
        <v>2023-03</v>
      </c>
      <c r="V132">
        <f t="shared" si="7"/>
        <v>7</v>
      </c>
      <c r="W132" s="2">
        <f t="shared" si="8"/>
        <v>0.36928428830697435</v>
      </c>
    </row>
    <row r="133" spans="1:23">
      <c r="A133" t="s">
        <v>458</v>
      </c>
      <c r="B133" s="1">
        <v>45520</v>
      </c>
      <c r="C133" s="1">
        <v>45526</v>
      </c>
      <c r="D133" t="s">
        <v>459</v>
      </c>
      <c r="E133" t="s">
        <v>460</v>
      </c>
      <c r="F133" t="s">
        <v>35</v>
      </c>
      <c r="G133" t="s">
        <v>24</v>
      </c>
      <c r="H133" t="s">
        <v>25</v>
      </c>
      <c r="I133" t="s">
        <v>26</v>
      </c>
      <c r="J133" t="s">
        <v>27</v>
      </c>
      <c r="K133" t="s">
        <v>116</v>
      </c>
      <c r="L133" t="s">
        <v>207</v>
      </c>
      <c r="M133" t="s">
        <v>208</v>
      </c>
      <c r="N133">
        <v>1</v>
      </c>
      <c r="O133">
        <v>105300</v>
      </c>
      <c r="P133">
        <v>0</v>
      </c>
      <c r="Q133">
        <v>105300</v>
      </c>
      <c r="R133">
        <v>60450.07</v>
      </c>
      <c r="S133">
        <v>44849.93</v>
      </c>
      <c r="T133" t="s">
        <v>40</v>
      </c>
      <c r="U133" t="str">
        <f t="shared" si="6"/>
        <v>2024-08</v>
      </c>
      <c r="V133">
        <f t="shared" si="7"/>
        <v>6</v>
      </c>
      <c r="W133" s="2">
        <f t="shared" si="8"/>
        <v>0.42592526115859447</v>
      </c>
    </row>
    <row r="134" spans="1:23">
      <c r="A134" t="s">
        <v>461</v>
      </c>
      <c r="B134" s="1">
        <v>45623</v>
      </c>
      <c r="C134" s="1">
        <v>45628</v>
      </c>
      <c r="D134" t="s">
        <v>462</v>
      </c>
      <c r="E134" t="s">
        <v>206</v>
      </c>
      <c r="F134" t="s">
        <v>54</v>
      </c>
      <c r="G134" t="s">
        <v>156</v>
      </c>
      <c r="H134" t="s">
        <v>157</v>
      </c>
      <c r="I134" t="s">
        <v>57</v>
      </c>
      <c r="J134" t="s">
        <v>47</v>
      </c>
      <c r="K134" t="s">
        <v>48</v>
      </c>
      <c r="L134" t="s">
        <v>49</v>
      </c>
      <c r="M134" t="s">
        <v>50</v>
      </c>
      <c r="N134">
        <v>4</v>
      </c>
      <c r="O134">
        <v>491400</v>
      </c>
      <c r="P134">
        <v>0</v>
      </c>
      <c r="Q134">
        <v>1965600</v>
      </c>
      <c r="R134">
        <v>1196036.29</v>
      </c>
      <c r="S134">
        <v>769563.71</v>
      </c>
      <c r="T134" t="s">
        <v>73</v>
      </c>
      <c r="U134" t="str">
        <f t="shared" si="6"/>
        <v>2024-11</v>
      </c>
      <c r="V134">
        <f t="shared" si="7"/>
        <v>5</v>
      </c>
      <c r="W134" s="2">
        <f t="shared" si="8"/>
        <v>0.39151592897842896</v>
      </c>
    </row>
    <row r="135" spans="1:23">
      <c r="A135" t="s">
        <v>463</v>
      </c>
      <c r="B135" s="1">
        <v>45434</v>
      </c>
      <c r="C135" s="1">
        <v>45436</v>
      </c>
      <c r="D135" t="s">
        <v>464</v>
      </c>
      <c r="E135" t="s">
        <v>465</v>
      </c>
      <c r="F135" t="s">
        <v>54</v>
      </c>
      <c r="G135" t="s">
        <v>169</v>
      </c>
      <c r="H135" t="s">
        <v>157</v>
      </c>
      <c r="I135" t="s">
        <v>57</v>
      </c>
      <c r="J135" t="s">
        <v>47</v>
      </c>
      <c r="K135" t="s">
        <v>48</v>
      </c>
      <c r="L135" t="s">
        <v>66</v>
      </c>
      <c r="M135" t="s">
        <v>67</v>
      </c>
      <c r="N135">
        <v>1</v>
      </c>
      <c r="O135">
        <v>136300</v>
      </c>
      <c r="P135">
        <v>0</v>
      </c>
      <c r="Q135">
        <v>136300</v>
      </c>
      <c r="R135">
        <v>78466.36</v>
      </c>
      <c r="S135">
        <v>57833.64</v>
      </c>
      <c r="T135" t="s">
        <v>40</v>
      </c>
      <c r="U135" t="str">
        <f t="shared" si="6"/>
        <v>2024-05</v>
      </c>
      <c r="V135">
        <f t="shared" si="7"/>
        <v>2</v>
      </c>
      <c r="W135" s="2">
        <f t="shared" si="8"/>
        <v>0.42431137197358765</v>
      </c>
    </row>
    <row r="136" spans="1:23">
      <c r="A136" t="s">
        <v>466</v>
      </c>
      <c r="B136" s="1">
        <v>45253</v>
      </c>
      <c r="C136" s="1">
        <v>45257</v>
      </c>
      <c r="D136" t="s">
        <v>349</v>
      </c>
      <c r="E136" t="s">
        <v>467</v>
      </c>
      <c r="F136" t="s">
        <v>54</v>
      </c>
      <c r="G136" t="s">
        <v>64</v>
      </c>
      <c r="H136" t="s">
        <v>65</v>
      </c>
      <c r="I136" t="s">
        <v>57</v>
      </c>
      <c r="J136" t="s">
        <v>27</v>
      </c>
      <c r="K136" t="s">
        <v>116</v>
      </c>
      <c r="L136" t="s">
        <v>207</v>
      </c>
      <c r="M136" t="s">
        <v>208</v>
      </c>
      <c r="N136">
        <v>1</v>
      </c>
      <c r="O136">
        <v>127400</v>
      </c>
      <c r="P136">
        <v>0.05</v>
      </c>
      <c r="Q136">
        <v>121030</v>
      </c>
      <c r="R136">
        <v>78112.95</v>
      </c>
      <c r="S136">
        <v>42917.05</v>
      </c>
      <c r="T136" t="s">
        <v>40</v>
      </c>
      <c r="U136" t="str">
        <f t="shared" si="6"/>
        <v>2023-11</v>
      </c>
      <c r="V136">
        <f t="shared" si="7"/>
        <v>4</v>
      </c>
      <c r="W136" s="2">
        <f t="shared" si="8"/>
        <v>0.35459844666611584</v>
      </c>
    </row>
    <row r="137" spans="1:23">
      <c r="A137" t="s">
        <v>468</v>
      </c>
      <c r="B137" s="1">
        <v>45026</v>
      </c>
      <c r="C137" s="1">
        <v>45027</v>
      </c>
      <c r="D137" t="s">
        <v>328</v>
      </c>
      <c r="E137" t="s">
        <v>115</v>
      </c>
      <c r="F137" t="s">
        <v>35</v>
      </c>
      <c r="G137" t="s">
        <v>95</v>
      </c>
      <c r="H137" t="s">
        <v>96</v>
      </c>
      <c r="I137" t="s">
        <v>26</v>
      </c>
      <c r="J137" t="s">
        <v>47</v>
      </c>
      <c r="K137" t="s">
        <v>128</v>
      </c>
      <c r="L137" t="s">
        <v>129</v>
      </c>
      <c r="M137" t="s">
        <v>130</v>
      </c>
      <c r="N137">
        <v>2</v>
      </c>
      <c r="O137">
        <v>1586500</v>
      </c>
      <c r="P137">
        <v>0.15</v>
      </c>
      <c r="Q137">
        <v>2697050</v>
      </c>
      <c r="R137">
        <v>2397191.96</v>
      </c>
      <c r="S137">
        <v>299858.03999999998</v>
      </c>
      <c r="T137" t="s">
        <v>31</v>
      </c>
      <c r="U137" t="str">
        <f t="shared" si="6"/>
        <v>2023-04</v>
      </c>
      <c r="V137">
        <f t="shared" si="7"/>
        <v>1</v>
      </c>
      <c r="W137" s="2">
        <f t="shared" si="8"/>
        <v>0.11118000778628501</v>
      </c>
    </row>
    <row r="138" spans="1:23">
      <c r="A138" t="s">
        <v>469</v>
      </c>
      <c r="B138" s="1">
        <v>45031</v>
      </c>
      <c r="C138" s="1">
        <v>45036</v>
      </c>
      <c r="D138" t="s">
        <v>441</v>
      </c>
      <c r="E138" t="s">
        <v>470</v>
      </c>
      <c r="F138" t="s">
        <v>23</v>
      </c>
      <c r="G138" t="s">
        <v>87</v>
      </c>
      <c r="H138" t="s">
        <v>88</v>
      </c>
      <c r="I138" t="s">
        <v>46</v>
      </c>
      <c r="J138" t="s">
        <v>36</v>
      </c>
      <c r="K138" t="s">
        <v>89</v>
      </c>
      <c r="L138" t="s">
        <v>151</v>
      </c>
      <c r="M138" t="s">
        <v>152</v>
      </c>
      <c r="N138">
        <v>2</v>
      </c>
      <c r="O138">
        <v>1335200</v>
      </c>
      <c r="P138">
        <v>0</v>
      </c>
      <c r="Q138">
        <v>2670400</v>
      </c>
      <c r="R138">
        <v>1929764.03</v>
      </c>
      <c r="S138">
        <v>740635.97</v>
      </c>
      <c r="T138" t="s">
        <v>40</v>
      </c>
      <c r="U138" t="str">
        <f t="shared" si="6"/>
        <v>2023-04</v>
      </c>
      <c r="V138">
        <f t="shared" si="7"/>
        <v>5</v>
      </c>
      <c r="W138" s="2">
        <f t="shared" si="8"/>
        <v>0.27735019847213899</v>
      </c>
    </row>
    <row r="139" spans="1:23">
      <c r="A139" t="s">
        <v>471</v>
      </c>
      <c r="B139" s="1">
        <v>45733</v>
      </c>
      <c r="C139" s="1">
        <v>45736</v>
      </c>
      <c r="D139" t="s">
        <v>472</v>
      </c>
      <c r="E139" t="s">
        <v>473</v>
      </c>
      <c r="F139" t="s">
        <v>54</v>
      </c>
      <c r="G139" t="s">
        <v>87</v>
      </c>
      <c r="H139" t="s">
        <v>88</v>
      </c>
      <c r="I139" t="s">
        <v>46</v>
      </c>
      <c r="J139" t="s">
        <v>27</v>
      </c>
      <c r="K139" t="s">
        <v>179</v>
      </c>
      <c r="L139" t="s">
        <v>180</v>
      </c>
      <c r="M139" t="s">
        <v>181</v>
      </c>
      <c r="N139">
        <v>1</v>
      </c>
      <c r="O139">
        <v>56700</v>
      </c>
      <c r="P139">
        <v>0.05</v>
      </c>
      <c r="Q139">
        <v>53865</v>
      </c>
      <c r="R139">
        <v>28725.43</v>
      </c>
      <c r="S139">
        <v>25139.57</v>
      </c>
      <c r="T139" t="s">
        <v>73</v>
      </c>
      <c r="U139" t="str">
        <f t="shared" si="6"/>
        <v>2025-03</v>
      </c>
      <c r="V139">
        <f t="shared" si="7"/>
        <v>3</v>
      </c>
      <c r="W139" s="2">
        <f t="shared" si="8"/>
        <v>0.46671437853893993</v>
      </c>
    </row>
    <row r="140" spans="1:23">
      <c r="A140" t="s">
        <v>474</v>
      </c>
      <c r="B140" s="1">
        <v>45897</v>
      </c>
      <c r="C140" s="1">
        <v>45902</v>
      </c>
      <c r="D140" t="s">
        <v>396</v>
      </c>
      <c r="E140" t="s">
        <v>475</v>
      </c>
      <c r="F140" t="s">
        <v>23</v>
      </c>
      <c r="G140" t="s">
        <v>87</v>
      </c>
      <c r="H140" t="s">
        <v>88</v>
      </c>
      <c r="I140" t="s">
        <v>46</v>
      </c>
      <c r="J140" t="s">
        <v>36</v>
      </c>
      <c r="K140" t="s">
        <v>37</v>
      </c>
      <c r="L140" t="s">
        <v>38</v>
      </c>
      <c r="M140" t="s">
        <v>39</v>
      </c>
      <c r="N140">
        <v>1</v>
      </c>
      <c r="O140">
        <v>1095600</v>
      </c>
      <c r="P140">
        <v>0.15</v>
      </c>
      <c r="Q140">
        <v>931260</v>
      </c>
      <c r="R140">
        <v>736738.76</v>
      </c>
      <c r="S140">
        <v>194521.24</v>
      </c>
      <c r="T140" t="s">
        <v>60</v>
      </c>
      <c r="U140" t="str">
        <f t="shared" si="6"/>
        <v>2025-08</v>
      </c>
      <c r="V140">
        <f t="shared" si="7"/>
        <v>5</v>
      </c>
      <c r="W140" s="2">
        <f t="shared" si="8"/>
        <v>0.20887962545368641</v>
      </c>
    </row>
    <row r="141" spans="1:23">
      <c r="A141" t="s">
        <v>476</v>
      </c>
      <c r="B141" s="1">
        <v>45970</v>
      </c>
      <c r="C141" s="1">
        <v>45975</v>
      </c>
      <c r="D141" t="s">
        <v>477</v>
      </c>
      <c r="E141" t="s">
        <v>478</v>
      </c>
      <c r="F141" t="s">
        <v>23</v>
      </c>
      <c r="G141" t="s">
        <v>95</v>
      </c>
      <c r="H141" t="s">
        <v>96</v>
      </c>
      <c r="I141" t="s">
        <v>26</v>
      </c>
      <c r="J141" t="s">
        <v>36</v>
      </c>
      <c r="K141" t="s">
        <v>37</v>
      </c>
      <c r="L141" t="s">
        <v>38</v>
      </c>
      <c r="M141" t="s">
        <v>39</v>
      </c>
      <c r="N141">
        <v>2</v>
      </c>
      <c r="O141">
        <v>1027300</v>
      </c>
      <c r="P141">
        <v>0.3</v>
      </c>
      <c r="Q141">
        <v>1438220</v>
      </c>
      <c r="R141">
        <v>1433287.46</v>
      </c>
      <c r="S141">
        <v>4932.54</v>
      </c>
      <c r="T141" t="s">
        <v>31</v>
      </c>
      <c r="U141" t="str">
        <f t="shared" si="6"/>
        <v>2025-11</v>
      </c>
      <c r="V141">
        <f t="shared" si="7"/>
        <v>5</v>
      </c>
      <c r="W141" s="2">
        <f t="shared" si="8"/>
        <v>3.4296143844474419E-3</v>
      </c>
    </row>
    <row r="142" spans="1:23">
      <c r="A142" t="s">
        <v>479</v>
      </c>
      <c r="B142" s="1">
        <v>45470</v>
      </c>
      <c r="C142" s="1">
        <v>45476</v>
      </c>
      <c r="D142" t="s">
        <v>374</v>
      </c>
      <c r="E142" t="s">
        <v>480</v>
      </c>
      <c r="F142" t="s">
        <v>35</v>
      </c>
      <c r="G142" t="s">
        <v>140</v>
      </c>
      <c r="H142" t="s">
        <v>141</v>
      </c>
      <c r="I142" t="s">
        <v>46</v>
      </c>
      <c r="J142" t="s">
        <v>27</v>
      </c>
      <c r="K142" t="s">
        <v>28</v>
      </c>
      <c r="L142" t="s">
        <v>29</v>
      </c>
      <c r="M142" t="s">
        <v>30</v>
      </c>
      <c r="N142">
        <v>2</v>
      </c>
      <c r="O142">
        <v>72000</v>
      </c>
      <c r="P142">
        <v>0.15</v>
      </c>
      <c r="Q142">
        <v>122400</v>
      </c>
      <c r="R142">
        <v>77715.27</v>
      </c>
      <c r="S142">
        <v>44684.73</v>
      </c>
      <c r="T142" t="s">
        <v>73</v>
      </c>
      <c r="U142" t="str">
        <f t="shared" si="6"/>
        <v>2024-06</v>
      </c>
      <c r="V142">
        <f t="shared" si="7"/>
        <v>6</v>
      </c>
      <c r="W142" s="2">
        <f t="shared" si="8"/>
        <v>0.3650713235294118</v>
      </c>
    </row>
    <row r="143" spans="1:23">
      <c r="A143" t="s">
        <v>481</v>
      </c>
      <c r="B143" s="1">
        <v>45152</v>
      </c>
      <c r="C143" s="1">
        <v>45154</v>
      </c>
      <c r="D143" t="s">
        <v>126</v>
      </c>
      <c r="E143" t="s">
        <v>482</v>
      </c>
      <c r="F143" t="s">
        <v>23</v>
      </c>
      <c r="G143" t="s">
        <v>169</v>
      </c>
      <c r="H143" t="s">
        <v>157</v>
      </c>
      <c r="I143" t="s">
        <v>57</v>
      </c>
      <c r="J143" t="s">
        <v>47</v>
      </c>
      <c r="K143" t="s">
        <v>48</v>
      </c>
      <c r="L143" t="s">
        <v>49</v>
      </c>
      <c r="M143" t="s">
        <v>50</v>
      </c>
      <c r="N143">
        <v>2</v>
      </c>
      <c r="O143">
        <v>519200</v>
      </c>
      <c r="P143">
        <v>0.25</v>
      </c>
      <c r="Q143">
        <v>778800</v>
      </c>
      <c r="R143">
        <v>684668.11</v>
      </c>
      <c r="S143">
        <v>94131.89</v>
      </c>
      <c r="T143" t="s">
        <v>73</v>
      </c>
      <c r="U143" t="str">
        <f t="shared" si="6"/>
        <v>2023-08</v>
      </c>
      <c r="V143">
        <f t="shared" si="7"/>
        <v>2</v>
      </c>
      <c r="W143" s="2">
        <f t="shared" si="8"/>
        <v>0.12086786081150488</v>
      </c>
    </row>
    <row r="144" spans="1:23">
      <c r="A144" t="s">
        <v>483</v>
      </c>
      <c r="B144" s="1">
        <v>45989</v>
      </c>
      <c r="C144" s="1">
        <v>45991</v>
      </c>
      <c r="D144" t="s">
        <v>305</v>
      </c>
      <c r="E144" t="s">
        <v>478</v>
      </c>
      <c r="F144" t="s">
        <v>35</v>
      </c>
      <c r="G144" t="s">
        <v>64</v>
      </c>
      <c r="H144" t="s">
        <v>65</v>
      </c>
      <c r="I144" t="s">
        <v>57</v>
      </c>
      <c r="J144" t="s">
        <v>36</v>
      </c>
      <c r="K144" t="s">
        <v>37</v>
      </c>
      <c r="L144" t="s">
        <v>58</v>
      </c>
      <c r="M144" t="s">
        <v>59</v>
      </c>
      <c r="N144">
        <v>8</v>
      </c>
      <c r="O144">
        <v>871000</v>
      </c>
      <c r="P144">
        <v>0.1</v>
      </c>
      <c r="Q144">
        <v>6271200</v>
      </c>
      <c r="R144">
        <v>4624383.49</v>
      </c>
      <c r="S144">
        <v>1646816.51</v>
      </c>
      <c r="T144" t="s">
        <v>60</v>
      </c>
      <c r="U144" t="str">
        <f t="shared" si="6"/>
        <v>2025-11</v>
      </c>
      <c r="V144">
        <f t="shared" si="7"/>
        <v>2</v>
      </c>
      <c r="W144" s="2">
        <f t="shared" si="8"/>
        <v>0.26259990272994005</v>
      </c>
    </row>
    <row r="145" spans="1:23">
      <c r="A145" t="s">
        <v>484</v>
      </c>
      <c r="B145" s="1">
        <v>45320</v>
      </c>
      <c r="C145" s="1">
        <v>45322</v>
      </c>
      <c r="D145" t="s">
        <v>485</v>
      </c>
      <c r="E145" t="s">
        <v>486</v>
      </c>
      <c r="F145" t="s">
        <v>54</v>
      </c>
      <c r="G145" t="s">
        <v>24</v>
      </c>
      <c r="H145" t="s">
        <v>25</v>
      </c>
      <c r="I145" t="s">
        <v>26</v>
      </c>
      <c r="J145" t="s">
        <v>47</v>
      </c>
      <c r="K145" t="s">
        <v>48</v>
      </c>
      <c r="L145" t="s">
        <v>66</v>
      </c>
      <c r="M145" t="s">
        <v>67</v>
      </c>
      <c r="N145">
        <v>4</v>
      </c>
      <c r="O145">
        <v>131900</v>
      </c>
      <c r="P145">
        <v>0.1</v>
      </c>
      <c r="Q145">
        <v>474840</v>
      </c>
      <c r="R145">
        <v>310160.65000000002</v>
      </c>
      <c r="S145">
        <v>164679.35</v>
      </c>
      <c r="T145" t="s">
        <v>60</v>
      </c>
      <c r="U145" t="str">
        <f t="shared" si="6"/>
        <v>2024-01</v>
      </c>
      <c r="V145">
        <f t="shared" si="7"/>
        <v>2</v>
      </c>
      <c r="W145" s="2">
        <f t="shared" si="8"/>
        <v>0.34681018869513941</v>
      </c>
    </row>
    <row r="146" spans="1:23">
      <c r="A146" t="s">
        <v>487</v>
      </c>
      <c r="B146" s="1">
        <v>45487</v>
      </c>
      <c r="C146" s="1">
        <v>45490</v>
      </c>
      <c r="D146" t="s">
        <v>488</v>
      </c>
      <c r="E146" t="s">
        <v>489</v>
      </c>
      <c r="F146" t="s">
        <v>35</v>
      </c>
      <c r="G146" t="s">
        <v>169</v>
      </c>
      <c r="H146" t="s">
        <v>157</v>
      </c>
      <c r="I146" t="s">
        <v>57</v>
      </c>
      <c r="J146" t="s">
        <v>47</v>
      </c>
      <c r="K146" t="s">
        <v>48</v>
      </c>
      <c r="L146" t="s">
        <v>225</v>
      </c>
      <c r="M146" t="s">
        <v>226</v>
      </c>
      <c r="N146">
        <v>1</v>
      </c>
      <c r="O146">
        <v>221600</v>
      </c>
      <c r="P146">
        <v>0.15</v>
      </c>
      <c r="Q146">
        <v>188360</v>
      </c>
      <c r="R146">
        <v>132298.82</v>
      </c>
      <c r="S146">
        <v>56061.18</v>
      </c>
      <c r="T146" t="s">
        <v>73</v>
      </c>
      <c r="U146" t="str">
        <f t="shared" si="6"/>
        <v>2024-07</v>
      </c>
      <c r="V146">
        <f t="shared" si="7"/>
        <v>3</v>
      </c>
      <c r="W146" s="2">
        <f t="shared" si="8"/>
        <v>0.29762784030579742</v>
      </c>
    </row>
    <row r="147" spans="1:23">
      <c r="A147" t="s">
        <v>490</v>
      </c>
      <c r="B147" s="1">
        <v>45908</v>
      </c>
      <c r="C147" s="1">
        <v>45910</v>
      </c>
      <c r="D147" t="s">
        <v>491</v>
      </c>
      <c r="E147" t="s">
        <v>492</v>
      </c>
      <c r="F147" t="s">
        <v>35</v>
      </c>
      <c r="G147" t="s">
        <v>87</v>
      </c>
      <c r="H147" t="s">
        <v>88</v>
      </c>
      <c r="I147" t="s">
        <v>46</v>
      </c>
      <c r="J147" t="s">
        <v>47</v>
      </c>
      <c r="K147" t="s">
        <v>48</v>
      </c>
      <c r="L147" t="s">
        <v>66</v>
      </c>
      <c r="M147" t="s">
        <v>67</v>
      </c>
      <c r="N147">
        <v>1</v>
      </c>
      <c r="O147">
        <v>132900</v>
      </c>
      <c r="P147">
        <v>0</v>
      </c>
      <c r="Q147">
        <v>132900</v>
      </c>
      <c r="R147">
        <v>73736.600000000006</v>
      </c>
      <c r="S147">
        <v>59163.4</v>
      </c>
      <c r="T147" t="s">
        <v>73</v>
      </c>
      <c r="U147" t="str">
        <f t="shared" si="6"/>
        <v>2025-09</v>
      </c>
      <c r="V147">
        <f t="shared" si="7"/>
        <v>2</v>
      </c>
      <c r="W147" s="2">
        <f t="shared" si="8"/>
        <v>0.44517231000752444</v>
      </c>
    </row>
    <row r="148" spans="1:23">
      <c r="A148" t="s">
        <v>493</v>
      </c>
      <c r="B148" s="1">
        <v>45034</v>
      </c>
      <c r="C148" s="1">
        <v>45035</v>
      </c>
      <c r="D148" t="s">
        <v>494</v>
      </c>
      <c r="E148" t="s">
        <v>495</v>
      </c>
      <c r="F148" t="s">
        <v>23</v>
      </c>
      <c r="G148" t="s">
        <v>64</v>
      </c>
      <c r="H148" t="s">
        <v>65</v>
      </c>
      <c r="I148" t="s">
        <v>57</v>
      </c>
      <c r="J148" t="s">
        <v>36</v>
      </c>
      <c r="K148" t="s">
        <v>37</v>
      </c>
      <c r="L148" t="s">
        <v>58</v>
      </c>
      <c r="M148" t="s">
        <v>59</v>
      </c>
      <c r="N148">
        <v>1</v>
      </c>
      <c r="O148">
        <v>888300</v>
      </c>
      <c r="P148">
        <v>0.25</v>
      </c>
      <c r="Q148">
        <v>666225</v>
      </c>
      <c r="R148">
        <v>579068.27</v>
      </c>
      <c r="S148">
        <v>87156.73</v>
      </c>
      <c r="T148" t="s">
        <v>73</v>
      </c>
      <c r="U148" t="str">
        <f t="shared" si="6"/>
        <v>2023-04</v>
      </c>
      <c r="V148">
        <f t="shared" si="7"/>
        <v>1</v>
      </c>
      <c r="W148" s="2">
        <f t="shared" si="8"/>
        <v>0.13082176441892754</v>
      </c>
    </row>
    <row r="149" spans="1:23">
      <c r="A149" t="s">
        <v>496</v>
      </c>
      <c r="B149" s="1">
        <v>45335</v>
      </c>
      <c r="C149" s="1">
        <v>45342</v>
      </c>
      <c r="D149" t="s">
        <v>497</v>
      </c>
      <c r="E149" t="s">
        <v>498</v>
      </c>
      <c r="F149" t="s">
        <v>35</v>
      </c>
      <c r="G149" t="s">
        <v>95</v>
      </c>
      <c r="H149" t="s">
        <v>96</v>
      </c>
      <c r="I149" t="s">
        <v>26</v>
      </c>
      <c r="J149" t="s">
        <v>27</v>
      </c>
      <c r="K149" t="s">
        <v>179</v>
      </c>
      <c r="L149" t="s">
        <v>180</v>
      </c>
      <c r="M149" t="s">
        <v>181</v>
      </c>
      <c r="N149">
        <v>3</v>
      </c>
      <c r="O149">
        <v>53300</v>
      </c>
      <c r="P149">
        <v>0.15</v>
      </c>
      <c r="Q149">
        <v>135915</v>
      </c>
      <c r="R149">
        <v>89877.86</v>
      </c>
      <c r="S149">
        <v>46037.14</v>
      </c>
      <c r="T149" t="s">
        <v>31</v>
      </c>
      <c r="U149" t="str">
        <f t="shared" si="6"/>
        <v>2024-02</v>
      </c>
      <c r="V149">
        <f t="shared" si="7"/>
        <v>7</v>
      </c>
      <c r="W149" s="2">
        <f t="shared" si="8"/>
        <v>0.33872008240444396</v>
      </c>
    </row>
    <row r="150" spans="1:23">
      <c r="A150" t="s">
        <v>499</v>
      </c>
      <c r="B150" s="1">
        <v>45285</v>
      </c>
      <c r="C150" s="1">
        <v>45289</v>
      </c>
      <c r="D150" t="s">
        <v>52</v>
      </c>
      <c r="E150" t="s">
        <v>500</v>
      </c>
      <c r="F150" t="s">
        <v>54</v>
      </c>
      <c r="G150" t="s">
        <v>140</v>
      </c>
      <c r="H150" t="s">
        <v>141</v>
      </c>
      <c r="I150" t="s">
        <v>46</v>
      </c>
      <c r="J150" t="s">
        <v>27</v>
      </c>
      <c r="K150" t="s">
        <v>28</v>
      </c>
      <c r="L150" t="s">
        <v>71</v>
      </c>
      <c r="M150" t="s">
        <v>72</v>
      </c>
      <c r="N150">
        <v>4</v>
      </c>
      <c r="O150">
        <v>42300</v>
      </c>
      <c r="P150">
        <v>0.15</v>
      </c>
      <c r="Q150">
        <v>143820</v>
      </c>
      <c r="R150">
        <v>93561.99</v>
      </c>
      <c r="S150">
        <v>50258.01</v>
      </c>
      <c r="T150" t="s">
        <v>40</v>
      </c>
      <c r="U150" t="str">
        <f t="shared" si="6"/>
        <v>2023-12</v>
      </c>
      <c r="V150">
        <f t="shared" si="7"/>
        <v>4</v>
      </c>
      <c r="W150" s="2">
        <f t="shared" si="8"/>
        <v>0.34945077179808093</v>
      </c>
    </row>
    <row r="151" spans="1:23">
      <c r="A151" t="s">
        <v>501</v>
      </c>
      <c r="B151" s="1">
        <v>44945</v>
      </c>
      <c r="C151" s="1">
        <v>44948</v>
      </c>
      <c r="D151" t="s">
        <v>154</v>
      </c>
      <c r="E151" t="s">
        <v>502</v>
      </c>
      <c r="F151" t="s">
        <v>23</v>
      </c>
      <c r="G151" t="s">
        <v>156</v>
      </c>
      <c r="H151" t="s">
        <v>157</v>
      </c>
      <c r="I151" t="s">
        <v>57</v>
      </c>
      <c r="J151" t="s">
        <v>36</v>
      </c>
      <c r="K151" t="s">
        <v>81</v>
      </c>
      <c r="L151" t="s">
        <v>215</v>
      </c>
      <c r="M151" t="s">
        <v>216</v>
      </c>
      <c r="N151">
        <v>5</v>
      </c>
      <c r="O151">
        <v>1626700</v>
      </c>
      <c r="P151">
        <v>0.05</v>
      </c>
      <c r="Q151">
        <v>7726825</v>
      </c>
      <c r="R151">
        <v>5290105.03</v>
      </c>
      <c r="S151">
        <v>2436719.9700000002</v>
      </c>
      <c r="T151" t="s">
        <v>40</v>
      </c>
      <c r="U151" t="str">
        <f t="shared" si="6"/>
        <v>2023-01</v>
      </c>
      <c r="V151">
        <f t="shared" si="7"/>
        <v>3</v>
      </c>
      <c r="W151" s="2">
        <f t="shared" si="8"/>
        <v>0.31535850365447649</v>
      </c>
    </row>
    <row r="152" spans="1:23">
      <c r="A152" t="s">
        <v>503</v>
      </c>
      <c r="B152" s="1">
        <v>45866</v>
      </c>
      <c r="C152" s="1">
        <v>45872</v>
      </c>
      <c r="D152" t="s">
        <v>218</v>
      </c>
      <c r="E152" t="s">
        <v>504</v>
      </c>
      <c r="F152" t="s">
        <v>35</v>
      </c>
      <c r="G152" t="s">
        <v>140</v>
      </c>
      <c r="H152" t="s">
        <v>141</v>
      </c>
      <c r="I152" t="s">
        <v>46</v>
      </c>
      <c r="J152" t="s">
        <v>47</v>
      </c>
      <c r="K152" t="s">
        <v>173</v>
      </c>
      <c r="L152" t="s">
        <v>203</v>
      </c>
      <c r="M152" t="s">
        <v>204</v>
      </c>
      <c r="N152">
        <v>3</v>
      </c>
      <c r="O152">
        <v>3413100</v>
      </c>
      <c r="P152">
        <v>0</v>
      </c>
      <c r="Q152">
        <v>10239300</v>
      </c>
      <c r="R152">
        <v>8258889.0800000001</v>
      </c>
      <c r="S152">
        <v>1980410.92</v>
      </c>
      <c r="T152" t="s">
        <v>60</v>
      </c>
      <c r="U152" t="str">
        <f t="shared" si="6"/>
        <v>2025-07</v>
      </c>
      <c r="V152">
        <f t="shared" si="7"/>
        <v>6</v>
      </c>
      <c r="W152" s="2">
        <f t="shared" si="8"/>
        <v>0.19341272547928079</v>
      </c>
    </row>
    <row r="153" spans="1:23">
      <c r="A153" t="s">
        <v>505</v>
      </c>
      <c r="B153" s="1">
        <v>45982</v>
      </c>
      <c r="C153" s="1">
        <v>45985</v>
      </c>
      <c r="D153" t="s">
        <v>506</v>
      </c>
      <c r="E153" t="s">
        <v>507</v>
      </c>
      <c r="F153" t="s">
        <v>54</v>
      </c>
      <c r="G153" t="s">
        <v>80</v>
      </c>
      <c r="H153" t="s">
        <v>45</v>
      </c>
      <c r="I153" t="s">
        <v>46</v>
      </c>
      <c r="J153" t="s">
        <v>47</v>
      </c>
      <c r="K153" t="s">
        <v>142</v>
      </c>
      <c r="L153" t="s">
        <v>143</v>
      </c>
      <c r="M153" t="s">
        <v>144</v>
      </c>
      <c r="N153">
        <v>2</v>
      </c>
      <c r="O153">
        <v>5822900</v>
      </c>
      <c r="P153">
        <v>0</v>
      </c>
      <c r="Q153">
        <v>11645800</v>
      </c>
      <c r="R153">
        <v>9136062.6699999999</v>
      </c>
      <c r="S153">
        <v>2509737.33</v>
      </c>
      <c r="T153" t="s">
        <v>40</v>
      </c>
      <c r="U153" t="str">
        <f t="shared" si="6"/>
        <v>2025-11</v>
      </c>
      <c r="V153">
        <f t="shared" si="7"/>
        <v>3</v>
      </c>
      <c r="W153" s="2">
        <f t="shared" si="8"/>
        <v>0.21550579007023993</v>
      </c>
    </row>
    <row r="154" spans="1:23">
      <c r="A154" t="s">
        <v>508</v>
      </c>
      <c r="B154" s="1">
        <v>44950</v>
      </c>
      <c r="C154" s="1">
        <v>44953</v>
      </c>
      <c r="D154" t="s">
        <v>230</v>
      </c>
      <c r="E154" t="s">
        <v>509</v>
      </c>
      <c r="F154" t="s">
        <v>35</v>
      </c>
      <c r="G154" t="s">
        <v>140</v>
      </c>
      <c r="H154" t="s">
        <v>141</v>
      </c>
      <c r="I154" t="s">
        <v>46</v>
      </c>
      <c r="J154" t="s">
        <v>27</v>
      </c>
      <c r="K154" t="s">
        <v>28</v>
      </c>
      <c r="L154" t="s">
        <v>29</v>
      </c>
      <c r="M154" t="s">
        <v>30</v>
      </c>
      <c r="N154">
        <v>2</v>
      </c>
      <c r="O154">
        <v>67300</v>
      </c>
      <c r="P154">
        <v>0.05</v>
      </c>
      <c r="Q154">
        <v>127870</v>
      </c>
      <c r="R154">
        <v>77507.7</v>
      </c>
      <c r="S154">
        <v>50362.3</v>
      </c>
      <c r="T154" t="s">
        <v>40</v>
      </c>
      <c r="U154" t="str">
        <f t="shared" si="6"/>
        <v>2023-01</v>
      </c>
      <c r="V154">
        <f t="shared" si="7"/>
        <v>3</v>
      </c>
      <c r="W154" s="2">
        <f t="shared" si="8"/>
        <v>0.39385547822006728</v>
      </c>
    </row>
    <row r="155" spans="1:23">
      <c r="A155" t="s">
        <v>510</v>
      </c>
      <c r="B155" s="1">
        <v>45531</v>
      </c>
      <c r="C155" s="1">
        <v>45534</v>
      </c>
      <c r="D155" t="s">
        <v>511</v>
      </c>
      <c r="E155" t="s">
        <v>512</v>
      </c>
      <c r="F155" t="s">
        <v>23</v>
      </c>
      <c r="G155" t="s">
        <v>80</v>
      </c>
      <c r="H155" t="s">
        <v>45</v>
      </c>
      <c r="I155" t="s">
        <v>46</v>
      </c>
      <c r="J155" t="s">
        <v>36</v>
      </c>
      <c r="K155" t="s">
        <v>81</v>
      </c>
      <c r="L155" t="s">
        <v>82</v>
      </c>
      <c r="M155" t="s">
        <v>83</v>
      </c>
      <c r="N155">
        <v>4</v>
      </c>
      <c r="O155">
        <v>671600</v>
      </c>
      <c r="P155">
        <v>0.05</v>
      </c>
      <c r="Q155">
        <v>2552080</v>
      </c>
      <c r="R155">
        <v>1756089.77</v>
      </c>
      <c r="S155">
        <v>795990.23</v>
      </c>
      <c r="T155" t="s">
        <v>40</v>
      </c>
      <c r="U155" t="str">
        <f t="shared" si="6"/>
        <v>2024-08</v>
      </c>
      <c r="V155">
        <f t="shared" si="7"/>
        <v>3</v>
      </c>
      <c r="W155" s="2">
        <f t="shared" si="8"/>
        <v>0.31189861994921786</v>
      </c>
    </row>
    <row r="156" spans="1:23">
      <c r="A156" t="s">
        <v>513</v>
      </c>
      <c r="B156" s="1">
        <v>45374</v>
      </c>
      <c r="C156" s="1">
        <v>45381</v>
      </c>
      <c r="D156" t="s">
        <v>201</v>
      </c>
      <c r="E156" t="s">
        <v>514</v>
      </c>
      <c r="F156" t="s">
        <v>23</v>
      </c>
      <c r="G156" t="s">
        <v>87</v>
      </c>
      <c r="H156" t="s">
        <v>88</v>
      </c>
      <c r="I156" t="s">
        <v>46</v>
      </c>
      <c r="J156" t="s">
        <v>47</v>
      </c>
      <c r="K156" t="s">
        <v>142</v>
      </c>
      <c r="L156" t="s">
        <v>143</v>
      </c>
      <c r="M156" t="s">
        <v>144</v>
      </c>
      <c r="N156">
        <v>1</v>
      </c>
      <c r="O156">
        <v>6247100</v>
      </c>
      <c r="P156">
        <v>0</v>
      </c>
      <c r="Q156">
        <v>6247100</v>
      </c>
      <c r="R156">
        <v>5103602.84</v>
      </c>
      <c r="S156">
        <v>1143497.1599999999</v>
      </c>
      <c r="T156" t="s">
        <v>60</v>
      </c>
      <c r="U156" t="str">
        <f t="shared" si="6"/>
        <v>2024-03</v>
      </c>
      <c r="V156">
        <f t="shared" si="7"/>
        <v>7</v>
      </c>
      <c r="W156" s="2">
        <f t="shared" si="8"/>
        <v>0.18304447823790237</v>
      </c>
    </row>
    <row r="157" spans="1:23">
      <c r="A157" t="s">
        <v>515</v>
      </c>
      <c r="B157" s="1">
        <v>45233</v>
      </c>
      <c r="C157" s="1">
        <v>45235</v>
      </c>
      <c r="D157" t="s">
        <v>516</v>
      </c>
      <c r="E157" t="s">
        <v>383</v>
      </c>
      <c r="F157" t="s">
        <v>35</v>
      </c>
      <c r="G157" t="s">
        <v>44</v>
      </c>
      <c r="H157" t="s">
        <v>45</v>
      </c>
      <c r="I157" t="s">
        <v>46</v>
      </c>
      <c r="J157" t="s">
        <v>47</v>
      </c>
      <c r="K157" t="s">
        <v>128</v>
      </c>
      <c r="L157" t="s">
        <v>129</v>
      </c>
      <c r="M157" t="s">
        <v>130</v>
      </c>
      <c r="N157">
        <v>1</v>
      </c>
      <c r="O157">
        <v>1467800</v>
      </c>
      <c r="P157">
        <v>0.15</v>
      </c>
      <c r="Q157">
        <v>1247630</v>
      </c>
      <c r="R157">
        <v>1066270.49</v>
      </c>
      <c r="S157">
        <v>181359.51</v>
      </c>
      <c r="T157" t="s">
        <v>40</v>
      </c>
      <c r="U157" t="str">
        <f t="shared" si="6"/>
        <v>2023-11</v>
      </c>
      <c r="V157">
        <f t="shared" si="7"/>
        <v>2</v>
      </c>
      <c r="W157" s="2">
        <f t="shared" si="8"/>
        <v>0.14536321665878507</v>
      </c>
    </row>
    <row r="158" spans="1:23">
      <c r="A158" t="s">
        <v>517</v>
      </c>
      <c r="B158" s="1">
        <v>45045</v>
      </c>
      <c r="C158" s="1">
        <v>45050</v>
      </c>
      <c r="D158" t="s">
        <v>210</v>
      </c>
      <c r="E158" t="s">
        <v>518</v>
      </c>
      <c r="F158" t="s">
        <v>23</v>
      </c>
      <c r="G158" t="s">
        <v>140</v>
      </c>
      <c r="H158" t="s">
        <v>141</v>
      </c>
      <c r="I158" t="s">
        <v>46</v>
      </c>
      <c r="J158" t="s">
        <v>36</v>
      </c>
      <c r="K158" t="s">
        <v>89</v>
      </c>
      <c r="L158" t="s">
        <v>151</v>
      </c>
      <c r="M158" t="s">
        <v>152</v>
      </c>
      <c r="N158">
        <v>4</v>
      </c>
      <c r="O158">
        <v>1284000</v>
      </c>
      <c r="P158">
        <v>0</v>
      </c>
      <c r="Q158">
        <v>5136000</v>
      </c>
      <c r="R158">
        <v>3423187.47</v>
      </c>
      <c r="S158">
        <v>1712812.53</v>
      </c>
      <c r="T158" t="s">
        <v>31</v>
      </c>
      <c r="U158" t="str">
        <f t="shared" si="6"/>
        <v>2023-04</v>
      </c>
      <c r="V158">
        <f t="shared" si="7"/>
        <v>5</v>
      </c>
      <c r="W158" s="2">
        <f t="shared" si="8"/>
        <v>0.33349153621495325</v>
      </c>
    </row>
    <row r="159" spans="1:23">
      <c r="A159" t="s">
        <v>519</v>
      </c>
      <c r="B159" s="1">
        <v>45068</v>
      </c>
      <c r="C159" s="1">
        <v>45072</v>
      </c>
      <c r="D159" t="s">
        <v>520</v>
      </c>
      <c r="E159" t="s">
        <v>521</v>
      </c>
      <c r="F159" t="s">
        <v>35</v>
      </c>
      <c r="G159" t="s">
        <v>80</v>
      </c>
      <c r="H159" t="s">
        <v>45</v>
      </c>
      <c r="I159" t="s">
        <v>46</v>
      </c>
      <c r="J159" t="s">
        <v>47</v>
      </c>
      <c r="K159" t="s">
        <v>48</v>
      </c>
      <c r="L159" t="s">
        <v>225</v>
      </c>
      <c r="M159" t="s">
        <v>226</v>
      </c>
      <c r="N159">
        <v>2</v>
      </c>
      <c r="O159">
        <v>252100</v>
      </c>
      <c r="P159">
        <v>0.05</v>
      </c>
      <c r="Q159">
        <v>478990</v>
      </c>
      <c r="R159">
        <v>323461.93</v>
      </c>
      <c r="S159">
        <v>155528.07</v>
      </c>
      <c r="T159" t="s">
        <v>40</v>
      </c>
      <c r="U159" t="str">
        <f t="shared" si="6"/>
        <v>2023-05</v>
      </c>
      <c r="V159">
        <f t="shared" si="7"/>
        <v>4</v>
      </c>
      <c r="W159" s="2">
        <f t="shared" si="8"/>
        <v>0.32470003549134641</v>
      </c>
    </row>
    <row r="160" spans="1:23">
      <c r="A160" t="s">
        <v>522</v>
      </c>
      <c r="B160" s="1">
        <v>45199</v>
      </c>
      <c r="C160" s="1">
        <v>45205</v>
      </c>
      <c r="D160" t="s">
        <v>523</v>
      </c>
      <c r="E160" t="s">
        <v>524</v>
      </c>
      <c r="F160" t="s">
        <v>54</v>
      </c>
      <c r="G160" t="s">
        <v>80</v>
      </c>
      <c r="H160" t="s">
        <v>45</v>
      </c>
      <c r="I160" t="s">
        <v>46</v>
      </c>
      <c r="J160" t="s">
        <v>27</v>
      </c>
      <c r="K160" t="s">
        <v>100</v>
      </c>
      <c r="L160" t="s">
        <v>105</v>
      </c>
      <c r="M160" t="s">
        <v>106</v>
      </c>
      <c r="N160">
        <v>2</v>
      </c>
      <c r="O160">
        <v>80600</v>
      </c>
      <c r="P160">
        <v>0</v>
      </c>
      <c r="Q160">
        <v>161200</v>
      </c>
      <c r="R160">
        <v>88863.42</v>
      </c>
      <c r="S160">
        <v>72336.58</v>
      </c>
      <c r="T160" t="s">
        <v>40</v>
      </c>
      <c r="U160" t="str">
        <f t="shared" si="6"/>
        <v>2023-09</v>
      </c>
      <c r="V160">
        <f t="shared" si="7"/>
        <v>6</v>
      </c>
      <c r="W160" s="2">
        <f t="shared" si="8"/>
        <v>0.44873808933002485</v>
      </c>
    </row>
    <row r="161" spans="1:23">
      <c r="A161" t="s">
        <v>525</v>
      </c>
      <c r="B161" s="1">
        <v>45795</v>
      </c>
      <c r="C161" s="1">
        <v>45800</v>
      </c>
      <c r="D161" t="s">
        <v>526</v>
      </c>
      <c r="E161" t="s">
        <v>320</v>
      </c>
      <c r="F161" t="s">
        <v>23</v>
      </c>
      <c r="G161" t="s">
        <v>24</v>
      </c>
      <c r="H161" t="s">
        <v>25</v>
      </c>
      <c r="I161" t="s">
        <v>26</v>
      </c>
      <c r="J161" t="s">
        <v>36</v>
      </c>
      <c r="K161" t="s">
        <v>81</v>
      </c>
      <c r="L161" t="s">
        <v>82</v>
      </c>
      <c r="M161" t="s">
        <v>83</v>
      </c>
      <c r="N161">
        <v>1</v>
      </c>
      <c r="O161">
        <v>719000</v>
      </c>
      <c r="P161">
        <v>0.15</v>
      </c>
      <c r="Q161">
        <v>611150</v>
      </c>
      <c r="R161">
        <v>443902.46</v>
      </c>
      <c r="S161">
        <v>167247.54</v>
      </c>
      <c r="T161" t="s">
        <v>73</v>
      </c>
      <c r="U161" t="str">
        <f t="shared" si="6"/>
        <v>2025-05</v>
      </c>
      <c r="V161">
        <f t="shared" si="7"/>
        <v>5</v>
      </c>
      <c r="W161" s="2">
        <f t="shared" si="8"/>
        <v>0.273660377975947</v>
      </c>
    </row>
    <row r="162" spans="1:23">
      <c r="A162" t="s">
        <v>527</v>
      </c>
      <c r="B162" s="1">
        <v>44959</v>
      </c>
      <c r="C162" s="1">
        <v>44961</v>
      </c>
      <c r="D162" t="s">
        <v>309</v>
      </c>
      <c r="E162" t="s">
        <v>528</v>
      </c>
      <c r="F162" t="s">
        <v>23</v>
      </c>
      <c r="G162" t="s">
        <v>55</v>
      </c>
      <c r="H162" t="s">
        <v>56</v>
      </c>
      <c r="I162" t="s">
        <v>57</v>
      </c>
      <c r="J162" t="s">
        <v>47</v>
      </c>
      <c r="K162" t="s">
        <v>142</v>
      </c>
      <c r="L162" t="s">
        <v>143</v>
      </c>
      <c r="M162" t="s">
        <v>144</v>
      </c>
      <c r="N162">
        <v>1</v>
      </c>
      <c r="O162">
        <v>5549400</v>
      </c>
      <c r="P162">
        <v>0.05</v>
      </c>
      <c r="Q162">
        <v>5271930</v>
      </c>
      <c r="R162">
        <v>4529059.68</v>
      </c>
      <c r="S162">
        <v>742870.32</v>
      </c>
      <c r="T162" t="s">
        <v>31</v>
      </c>
      <c r="U162" t="str">
        <f t="shared" si="6"/>
        <v>2023-02</v>
      </c>
      <c r="V162">
        <f t="shared" si="7"/>
        <v>2</v>
      </c>
      <c r="W162" s="2">
        <f t="shared" si="8"/>
        <v>0.14091050526088167</v>
      </c>
    </row>
    <row r="163" spans="1:23">
      <c r="A163" t="s">
        <v>529</v>
      </c>
      <c r="B163" s="1">
        <v>45519</v>
      </c>
      <c r="C163" s="1">
        <v>45521</v>
      </c>
      <c r="D163" t="s">
        <v>530</v>
      </c>
      <c r="E163" t="s">
        <v>531</v>
      </c>
      <c r="F163" t="s">
        <v>35</v>
      </c>
      <c r="G163" t="s">
        <v>55</v>
      </c>
      <c r="H163" t="s">
        <v>56</v>
      </c>
      <c r="I163" t="s">
        <v>57</v>
      </c>
      <c r="J163" t="s">
        <v>27</v>
      </c>
      <c r="K163" t="s">
        <v>179</v>
      </c>
      <c r="L163" t="s">
        <v>180</v>
      </c>
      <c r="M163" t="s">
        <v>181</v>
      </c>
      <c r="N163">
        <v>1</v>
      </c>
      <c r="O163">
        <v>61200</v>
      </c>
      <c r="P163">
        <v>0.3</v>
      </c>
      <c r="Q163">
        <v>42840</v>
      </c>
      <c r="R163">
        <v>33012.15</v>
      </c>
      <c r="S163">
        <v>9827.85</v>
      </c>
      <c r="T163" t="s">
        <v>60</v>
      </c>
      <c r="U163" t="str">
        <f t="shared" si="6"/>
        <v>2024-08</v>
      </c>
      <c r="V163">
        <f t="shared" si="7"/>
        <v>2</v>
      </c>
      <c r="W163" s="2">
        <f t="shared" si="8"/>
        <v>0.22940826330532213</v>
      </c>
    </row>
    <row r="164" spans="1:23">
      <c r="A164" t="s">
        <v>532</v>
      </c>
      <c r="B164" s="1">
        <v>45051</v>
      </c>
      <c r="C164" s="1">
        <v>45056</v>
      </c>
      <c r="D164" t="s">
        <v>533</v>
      </c>
      <c r="E164" t="s">
        <v>34</v>
      </c>
      <c r="F164" t="s">
        <v>35</v>
      </c>
      <c r="G164" t="s">
        <v>169</v>
      </c>
      <c r="H164" t="s">
        <v>157</v>
      </c>
      <c r="I164" t="s">
        <v>57</v>
      </c>
      <c r="J164" t="s">
        <v>27</v>
      </c>
      <c r="K164" t="s">
        <v>28</v>
      </c>
      <c r="L164" t="s">
        <v>71</v>
      </c>
      <c r="M164" t="s">
        <v>72</v>
      </c>
      <c r="N164">
        <v>10</v>
      </c>
      <c r="O164">
        <v>49800</v>
      </c>
      <c r="P164">
        <v>0.1</v>
      </c>
      <c r="Q164">
        <v>448200</v>
      </c>
      <c r="R164">
        <v>272465.95</v>
      </c>
      <c r="S164">
        <v>175734.05</v>
      </c>
      <c r="T164" t="s">
        <v>31</v>
      </c>
      <c r="U164" t="str">
        <f t="shared" si="6"/>
        <v>2023-05</v>
      </c>
      <c r="V164">
        <f t="shared" si="7"/>
        <v>5</v>
      </c>
      <c r="W164" s="2">
        <f t="shared" si="8"/>
        <v>0.39208846497099509</v>
      </c>
    </row>
    <row r="165" spans="1:23">
      <c r="A165" t="s">
        <v>534</v>
      </c>
      <c r="B165" s="1">
        <v>45763</v>
      </c>
      <c r="C165" s="1">
        <v>45765</v>
      </c>
      <c r="D165" t="s">
        <v>530</v>
      </c>
      <c r="E165" t="s">
        <v>535</v>
      </c>
      <c r="F165" t="s">
        <v>23</v>
      </c>
      <c r="G165" t="s">
        <v>87</v>
      </c>
      <c r="H165" t="s">
        <v>88</v>
      </c>
      <c r="I165" t="s">
        <v>46</v>
      </c>
      <c r="J165" t="s">
        <v>47</v>
      </c>
      <c r="K165" t="s">
        <v>173</v>
      </c>
      <c r="L165" t="s">
        <v>203</v>
      </c>
      <c r="M165" t="s">
        <v>204</v>
      </c>
      <c r="N165">
        <v>2</v>
      </c>
      <c r="O165">
        <v>3378100</v>
      </c>
      <c r="P165">
        <v>0.15</v>
      </c>
      <c r="Q165">
        <v>5742770</v>
      </c>
      <c r="R165">
        <v>5488577.6200000001</v>
      </c>
      <c r="S165">
        <v>254192.38</v>
      </c>
      <c r="T165" t="s">
        <v>73</v>
      </c>
      <c r="U165" t="str">
        <f t="shared" si="6"/>
        <v>2025-04</v>
      </c>
      <c r="V165">
        <f t="shared" si="7"/>
        <v>2</v>
      </c>
      <c r="W165" s="2">
        <f t="shared" si="8"/>
        <v>4.4263026379256006E-2</v>
      </c>
    </row>
    <row r="166" spans="1:23">
      <c r="A166" t="s">
        <v>536</v>
      </c>
      <c r="B166" s="1">
        <v>46012</v>
      </c>
      <c r="C166" s="1">
        <v>46014</v>
      </c>
      <c r="D166" t="s">
        <v>537</v>
      </c>
      <c r="E166" t="s">
        <v>538</v>
      </c>
      <c r="F166" t="s">
        <v>23</v>
      </c>
      <c r="G166" t="s">
        <v>24</v>
      </c>
      <c r="H166" t="s">
        <v>25</v>
      </c>
      <c r="I166" t="s">
        <v>26</v>
      </c>
      <c r="J166" t="s">
        <v>36</v>
      </c>
      <c r="K166" t="s">
        <v>89</v>
      </c>
      <c r="L166" t="s">
        <v>151</v>
      </c>
      <c r="M166" t="s">
        <v>152</v>
      </c>
      <c r="N166">
        <v>6</v>
      </c>
      <c r="O166">
        <v>1358000</v>
      </c>
      <c r="P166">
        <v>0</v>
      </c>
      <c r="Q166">
        <v>8148000</v>
      </c>
      <c r="R166">
        <v>5700433.0999999996</v>
      </c>
      <c r="S166">
        <v>2447566.9</v>
      </c>
      <c r="T166" t="s">
        <v>31</v>
      </c>
      <c r="U166" t="str">
        <f t="shared" si="6"/>
        <v>2025-12</v>
      </c>
      <c r="V166">
        <f t="shared" si="7"/>
        <v>2</v>
      </c>
      <c r="W166" s="2">
        <f t="shared" si="8"/>
        <v>0.30038867206676484</v>
      </c>
    </row>
    <row r="167" spans="1:23">
      <c r="A167" t="s">
        <v>539</v>
      </c>
      <c r="B167" s="1">
        <v>45699</v>
      </c>
      <c r="C167" s="1">
        <v>45705</v>
      </c>
      <c r="D167" t="s">
        <v>540</v>
      </c>
      <c r="E167" t="s">
        <v>104</v>
      </c>
      <c r="F167" t="s">
        <v>23</v>
      </c>
      <c r="G167" t="s">
        <v>44</v>
      </c>
      <c r="H167" t="s">
        <v>45</v>
      </c>
      <c r="I167" t="s">
        <v>46</v>
      </c>
      <c r="J167" t="s">
        <v>36</v>
      </c>
      <c r="K167" t="s">
        <v>81</v>
      </c>
      <c r="L167" t="s">
        <v>215</v>
      </c>
      <c r="M167" t="s">
        <v>216</v>
      </c>
      <c r="N167">
        <v>2</v>
      </c>
      <c r="O167">
        <v>1909700</v>
      </c>
      <c r="P167">
        <v>0.05</v>
      </c>
      <c r="Q167">
        <v>3628430</v>
      </c>
      <c r="R167">
        <v>2708383.5</v>
      </c>
      <c r="S167">
        <v>920046.5</v>
      </c>
      <c r="T167" t="s">
        <v>73</v>
      </c>
      <c r="U167" t="str">
        <f t="shared" si="6"/>
        <v>2025-02</v>
      </c>
      <c r="V167">
        <f t="shared" si="7"/>
        <v>6</v>
      </c>
      <c r="W167" s="2">
        <f t="shared" si="8"/>
        <v>0.25356600513169608</v>
      </c>
    </row>
    <row r="168" spans="1:23">
      <c r="A168" t="s">
        <v>541</v>
      </c>
      <c r="B168" s="1">
        <v>45316</v>
      </c>
      <c r="C168" s="1">
        <v>45322</v>
      </c>
      <c r="D168" t="s">
        <v>542</v>
      </c>
      <c r="E168" t="s">
        <v>543</v>
      </c>
      <c r="F168" t="s">
        <v>35</v>
      </c>
      <c r="G168" t="s">
        <v>24</v>
      </c>
      <c r="H168" t="s">
        <v>25</v>
      </c>
      <c r="I168" t="s">
        <v>26</v>
      </c>
      <c r="J168" t="s">
        <v>47</v>
      </c>
      <c r="K168" t="s">
        <v>128</v>
      </c>
      <c r="L168" t="s">
        <v>129</v>
      </c>
      <c r="M168" t="s">
        <v>130</v>
      </c>
      <c r="N168">
        <v>2</v>
      </c>
      <c r="O168">
        <v>1381300</v>
      </c>
      <c r="P168">
        <v>0.05</v>
      </c>
      <c r="Q168">
        <v>2624470</v>
      </c>
      <c r="R168">
        <v>1962811.67</v>
      </c>
      <c r="S168">
        <v>661658.32999999996</v>
      </c>
      <c r="T168" t="s">
        <v>73</v>
      </c>
      <c r="U168" t="str">
        <f t="shared" si="6"/>
        <v>2024-01</v>
      </c>
      <c r="V168">
        <f t="shared" si="7"/>
        <v>6</v>
      </c>
      <c r="W168" s="2">
        <f t="shared" si="8"/>
        <v>0.25211121864605041</v>
      </c>
    </row>
    <row r="169" spans="1:23">
      <c r="A169" t="s">
        <v>544</v>
      </c>
      <c r="B169" s="1">
        <v>45662</v>
      </c>
      <c r="C169" s="1">
        <v>45665</v>
      </c>
      <c r="D169" t="s">
        <v>545</v>
      </c>
      <c r="E169" t="s">
        <v>546</v>
      </c>
      <c r="F169" t="s">
        <v>23</v>
      </c>
      <c r="G169" t="s">
        <v>64</v>
      </c>
      <c r="H169" t="s">
        <v>65</v>
      </c>
      <c r="I169" t="s">
        <v>57</v>
      </c>
      <c r="J169" t="s">
        <v>47</v>
      </c>
      <c r="K169" t="s">
        <v>128</v>
      </c>
      <c r="L169" t="s">
        <v>129</v>
      </c>
      <c r="M169" t="s">
        <v>130</v>
      </c>
      <c r="N169">
        <v>4</v>
      </c>
      <c r="O169">
        <v>1407200</v>
      </c>
      <c r="P169">
        <v>0</v>
      </c>
      <c r="Q169">
        <v>5628800</v>
      </c>
      <c r="R169">
        <v>4014963.94</v>
      </c>
      <c r="S169">
        <v>1613836.06</v>
      </c>
      <c r="T169" t="s">
        <v>40</v>
      </c>
      <c r="U169" t="str">
        <f t="shared" si="6"/>
        <v>2025-01</v>
      </c>
      <c r="V169">
        <f t="shared" si="7"/>
        <v>3</v>
      </c>
      <c r="W169" s="2">
        <f t="shared" si="8"/>
        <v>0.28671049957362138</v>
      </c>
    </row>
    <row r="170" spans="1:23">
      <c r="A170" t="s">
        <v>547</v>
      </c>
      <c r="B170" s="1">
        <v>45380</v>
      </c>
      <c r="C170" s="1">
        <v>45386</v>
      </c>
      <c r="D170" t="s">
        <v>548</v>
      </c>
      <c r="E170" t="s">
        <v>248</v>
      </c>
      <c r="F170" t="s">
        <v>54</v>
      </c>
      <c r="G170" t="s">
        <v>87</v>
      </c>
      <c r="H170" t="s">
        <v>88</v>
      </c>
      <c r="I170" t="s">
        <v>46</v>
      </c>
      <c r="J170" t="s">
        <v>47</v>
      </c>
      <c r="K170" t="s">
        <v>48</v>
      </c>
      <c r="L170" t="s">
        <v>66</v>
      </c>
      <c r="M170" t="s">
        <v>67</v>
      </c>
      <c r="N170">
        <v>1</v>
      </c>
      <c r="O170">
        <v>117900</v>
      </c>
      <c r="P170">
        <v>0</v>
      </c>
      <c r="Q170">
        <v>117900</v>
      </c>
      <c r="R170">
        <v>70028.14</v>
      </c>
      <c r="S170">
        <v>47871.86</v>
      </c>
      <c r="T170" t="s">
        <v>40</v>
      </c>
      <c r="U170" t="str">
        <f t="shared" si="6"/>
        <v>2024-03</v>
      </c>
      <c r="V170">
        <f t="shared" si="7"/>
        <v>6</v>
      </c>
      <c r="W170" s="2">
        <f t="shared" si="8"/>
        <v>0.40603782866836302</v>
      </c>
    </row>
    <row r="171" spans="1:23">
      <c r="A171" t="s">
        <v>549</v>
      </c>
      <c r="B171" s="1">
        <v>45618</v>
      </c>
      <c r="C171" s="1">
        <v>45621</v>
      </c>
      <c r="D171" t="s">
        <v>123</v>
      </c>
      <c r="E171" t="s">
        <v>550</v>
      </c>
      <c r="F171" t="s">
        <v>23</v>
      </c>
      <c r="G171" t="s">
        <v>64</v>
      </c>
      <c r="H171" t="s">
        <v>65</v>
      </c>
      <c r="I171" t="s">
        <v>57</v>
      </c>
      <c r="J171" t="s">
        <v>27</v>
      </c>
      <c r="K171" t="s">
        <v>116</v>
      </c>
      <c r="L171" t="s">
        <v>207</v>
      </c>
      <c r="M171" t="s">
        <v>208</v>
      </c>
      <c r="N171">
        <v>1</v>
      </c>
      <c r="O171">
        <v>121700</v>
      </c>
      <c r="P171">
        <v>0.05</v>
      </c>
      <c r="Q171">
        <v>115615</v>
      </c>
      <c r="R171">
        <v>74169.119999999995</v>
      </c>
      <c r="S171">
        <v>41445.879999999997</v>
      </c>
      <c r="T171" t="s">
        <v>60</v>
      </c>
      <c r="U171" t="str">
        <f t="shared" si="6"/>
        <v>2024-11</v>
      </c>
      <c r="V171">
        <f t="shared" si="7"/>
        <v>3</v>
      </c>
      <c r="W171" s="2">
        <f t="shared" si="8"/>
        <v>0.35848185789041215</v>
      </c>
    </row>
    <row r="172" spans="1:23">
      <c r="A172" t="s">
        <v>551</v>
      </c>
      <c r="B172" s="1">
        <v>45079</v>
      </c>
      <c r="C172" s="1">
        <v>45086</v>
      </c>
      <c r="D172" t="s">
        <v>123</v>
      </c>
      <c r="E172" t="s">
        <v>63</v>
      </c>
      <c r="F172" t="s">
        <v>23</v>
      </c>
      <c r="G172" t="s">
        <v>169</v>
      </c>
      <c r="H172" t="s">
        <v>157</v>
      </c>
      <c r="I172" t="s">
        <v>57</v>
      </c>
      <c r="J172" t="s">
        <v>27</v>
      </c>
      <c r="K172" t="s">
        <v>100</v>
      </c>
      <c r="L172" t="s">
        <v>101</v>
      </c>
      <c r="M172" t="s">
        <v>102</v>
      </c>
      <c r="N172">
        <v>1</v>
      </c>
      <c r="O172">
        <v>54100</v>
      </c>
      <c r="P172">
        <v>0</v>
      </c>
      <c r="Q172">
        <v>54100</v>
      </c>
      <c r="R172">
        <v>30031.16</v>
      </c>
      <c r="S172">
        <v>24068.84</v>
      </c>
      <c r="T172" t="s">
        <v>73</v>
      </c>
      <c r="U172" t="str">
        <f t="shared" si="6"/>
        <v>2023-06</v>
      </c>
      <c r="V172">
        <f t="shared" si="7"/>
        <v>7</v>
      </c>
      <c r="W172" s="2">
        <f t="shared" si="8"/>
        <v>0.44489537892791126</v>
      </c>
    </row>
    <row r="173" spans="1:23">
      <c r="A173" t="s">
        <v>552</v>
      </c>
      <c r="B173" s="1">
        <v>45916</v>
      </c>
      <c r="C173" s="1">
        <v>45922</v>
      </c>
      <c r="D173" t="s">
        <v>553</v>
      </c>
      <c r="E173" t="s">
        <v>554</v>
      </c>
      <c r="F173" t="s">
        <v>35</v>
      </c>
      <c r="G173" t="s">
        <v>87</v>
      </c>
      <c r="H173" t="s">
        <v>88</v>
      </c>
      <c r="I173" t="s">
        <v>46</v>
      </c>
      <c r="J173" t="s">
        <v>36</v>
      </c>
      <c r="K173" t="s">
        <v>81</v>
      </c>
      <c r="L173" t="s">
        <v>215</v>
      </c>
      <c r="M173" t="s">
        <v>216</v>
      </c>
      <c r="N173">
        <v>1</v>
      </c>
      <c r="O173">
        <v>1853000</v>
      </c>
      <c r="P173">
        <v>0.1</v>
      </c>
      <c r="Q173">
        <v>1667700</v>
      </c>
      <c r="R173">
        <v>1207410.8700000001</v>
      </c>
      <c r="S173">
        <v>460289.13</v>
      </c>
      <c r="T173" t="s">
        <v>31</v>
      </c>
      <c r="U173" t="str">
        <f t="shared" si="6"/>
        <v>2025-09</v>
      </c>
      <c r="V173">
        <f t="shared" si="7"/>
        <v>6</v>
      </c>
      <c r="W173" s="2">
        <f t="shared" si="8"/>
        <v>0.27600235653894584</v>
      </c>
    </row>
    <row r="174" spans="1:23">
      <c r="A174" t="s">
        <v>555</v>
      </c>
      <c r="B174" s="1">
        <v>45808</v>
      </c>
      <c r="C174" s="1">
        <v>45815</v>
      </c>
      <c r="D174" t="s">
        <v>426</v>
      </c>
      <c r="E174" t="s">
        <v>556</v>
      </c>
      <c r="F174" t="s">
        <v>54</v>
      </c>
      <c r="G174" t="s">
        <v>44</v>
      </c>
      <c r="H174" t="s">
        <v>45</v>
      </c>
      <c r="I174" t="s">
        <v>46</v>
      </c>
      <c r="J174" t="s">
        <v>27</v>
      </c>
      <c r="K174" t="s">
        <v>28</v>
      </c>
      <c r="L174" t="s">
        <v>71</v>
      </c>
      <c r="M174" t="s">
        <v>72</v>
      </c>
      <c r="N174">
        <v>1</v>
      </c>
      <c r="O174">
        <v>46600</v>
      </c>
      <c r="P174">
        <v>0</v>
      </c>
      <c r="Q174">
        <v>46600</v>
      </c>
      <c r="R174">
        <v>24136.95</v>
      </c>
      <c r="S174">
        <v>22463.05</v>
      </c>
      <c r="T174" t="s">
        <v>73</v>
      </c>
      <c r="U174" t="str">
        <f t="shared" si="6"/>
        <v>2025-05</v>
      </c>
      <c r="V174">
        <f t="shared" si="7"/>
        <v>7</v>
      </c>
      <c r="W174" s="2">
        <f t="shared" si="8"/>
        <v>0.48203969957081544</v>
      </c>
    </row>
    <row r="175" spans="1:23">
      <c r="A175" t="s">
        <v>557</v>
      </c>
      <c r="B175" s="1">
        <v>45758</v>
      </c>
      <c r="C175" s="1">
        <v>45762</v>
      </c>
      <c r="D175" t="s">
        <v>213</v>
      </c>
      <c r="E175" t="s">
        <v>558</v>
      </c>
      <c r="F175" t="s">
        <v>23</v>
      </c>
      <c r="G175" t="s">
        <v>24</v>
      </c>
      <c r="H175" t="s">
        <v>25</v>
      </c>
      <c r="I175" t="s">
        <v>26</v>
      </c>
      <c r="J175" t="s">
        <v>36</v>
      </c>
      <c r="K175" t="s">
        <v>37</v>
      </c>
      <c r="L175" t="s">
        <v>58</v>
      </c>
      <c r="M175" t="s">
        <v>59</v>
      </c>
      <c r="N175">
        <v>3</v>
      </c>
      <c r="O175">
        <v>947300</v>
      </c>
      <c r="P175">
        <v>0.15</v>
      </c>
      <c r="Q175">
        <v>2415615</v>
      </c>
      <c r="R175">
        <v>1777326.51</v>
      </c>
      <c r="S175">
        <v>638288.49</v>
      </c>
      <c r="T175" t="s">
        <v>31</v>
      </c>
      <c r="U175" t="str">
        <f t="shared" si="6"/>
        <v>2025-04</v>
      </c>
      <c r="V175">
        <f t="shared" si="7"/>
        <v>4</v>
      </c>
      <c r="W175" s="2">
        <f t="shared" si="8"/>
        <v>0.26423436267782741</v>
      </c>
    </row>
    <row r="176" spans="1:23">
      <c r="A176" t="s">
        <v>559</v>
      </c>
      <c r="B176" s="1">
        <v>45901</v>
      </c>
      <c r="C176" s="1">
        <v>45902</v>
      </c>
      <c r="D176" t="s">
        <v>560</v>
      </c>
      <c r="E176" t="s">
        <v>168</v>
      </c>
      <c r="F176" t="s">
        <v>23</v>
      </c>
      <c r="G176" t="s">
        <v>44</v>
      </c>
      <c r="H176" t="s">
        <v>45</v>
      </c>
      <c r="I176" t="s">
        <v>46</v>
      </c>
      <c r="J176" t="s">
        <v>27</v>
      </c>
      <c r="K176" t="s">
        <v>28</v>
      </c>
      <c r="L176" t="s">
        <v>71</v>
      </c>
      <c r="M176" t="s">
        <v>72</v>
      </c>
      <c r="N176">
        <v>3</v>
      </c>
      <c r="O176">
        <v>43800</v>
      </c>
      <c r="P176">
        <v>0.3</v>
      </c>
      <c r="Q176">
        <v>91980</v>
      </c>
      <c r="R176">
        <v>73561.87</v>
      </c>
      <c r="S176">
        <v>18418.13</v>
      </c>
      <c r="T176" t="s">
        <v>40</v>
      </c>
      <c r="U176" t="str">
        <f t="shared" si="6"/>
        <v>2025-09</v>
      </c>
      <c r="V176">
        <f t="shared" si="7"/>
        <v>1</v>
      </c>
      <c r="W176" s="2">
        <f t="shared" si="8"/>
        <v>0.20024059578169168</v>
      </c>
    </row>
    <row r="177" spans="1:23">
      <c r="A177" t="s">
        <v>561</v>
      </c>
      <c r="B177" s="1">
        <v>45900</v>
      </c>
      <c r="C177" s="1">
        <v>45903</v>
      </c>
      <c r="D177" t="s">
        <v>435</v>
      </c>
      <c r="E177" t="s">
        <v>562</v>
      </c>
      <c r="F177" t="s">
        <v>54</v>
      </c>
      <c r="G177" t="s">
        <v>95</v>
      </c>
      <c r="H177" t="s">
        <v>96</v>
      </c>
      <c r="I177" t="s">
        <v>26</v>
      </c>
      <c r="J177" t="s">
        <v>47</v>
      </c>
      <c r="K177" t="s">
        <v>142</v>
      </c>
      <c r="L177" t="s">
        <v>143</v>
      </c>
      <c r="M177" t="s">
        <v>144</v>
      </c>
      <c r="N177">
        <v>1</v>
      </c>
      <c r="O177">
        <v>6631300</v>
      </c>
      <c r="P177">
        <v>0</v>
      </c>
      <c r="Q177">
        <v>6631300</v>
      </c>
      <c r="R177">
        <v>5182655.67</v>
      </c>
      <c r="S177">
        <v>1448644.33</v>
      </c>
      <c r="T177" t="s">
        <v>31</v>
      </c>
      <c r="U177" t="str">
        <f t="shared" si="6"/>
        <v>2025-08</v>
      </c>
      <c r="V177">
        <f t="shared" si="7"/>
        <v>3</v>
      </c>
      <c r="W177" s="2">
        <f t="shared" si="8"/>
        <v>0.21845555622577775</v>
      </c>
    </row>
    <row r="178" spans="1:23">
      <c r="A178" t="s">
        <v>563</v>
      </c>
      <c r="B178" s="1">
        <v>45742</v>
      </c>
      <c r="C178" s="1">
        <v>45743</v>
      </c>
      <c r="D178" t="s">
        <v>564</v>
      </c>
      <c r="E178" t="s">
        <v>565</v>
      </c>
      <c r="F178" t="s">
        <v>54</v>
      </c>
      <c r="G178" t="s">
        <v>55</v>
      </c>
      <c r="H178" t="s">
        <v>56</v>
      </c>
      <c r="I178" t="s">
        <v>57</v>
      </c>
      <c r="J178" t="s">
        <v>47</v>
      </c>
      <c r="K178" t="s">
        <v>173</v>
      </c>
      <c r="L178" t="s">
        <v>174</v>
      </c>
      <c r="M178" t="s">
        <v>175</v>
      </c>
      <c r="N178">
        <v>3</v>
      </c>
      <c r="O178">
        <v>4788900</v>
      </c>
      <c r="P178">
        <v>0.05</v>
      </c>
      <c r="Q178">
        <v>13648365</v>
      </c>
      <c r="R178">
        <v>11272474.199999999</v>
      </c>
      <c r="S178">
        <v>2375890.7999999998</v>
      </c>
      <c r="T178" t="s">
        <v>40</v>
      </c>
      <c r="U178" t="str">
        <f t="shared" si="6"/>
        <v>2025-03</v>
      </c>
      <c r="V178">
        <f t="shared" si="7"/>
        <v>1</v>
      </c>
      <c r="W178" s="2">
        <f t="shared" si="8"/>
        <v>0.17407878526109169</v>
      </c>
    </row>
    <row r="179" spans="1:23">
      <c r="A179" t="s">
        <v>566</v>
      </c>
      <c r="B179" s="1">
        <v>45635</v>
      </c>
      <c r="C179" s="1">
        <v>45636</v>
      </c>
      <c r="D179" t="s">
        <v>567</v>
      </c>
      <c r="E179" t="s">
        <v>568</v>
      </c>
      <c r="F179" t="s">
        <v>23</v>
      </c>
      <c r="G179" t="s">
        <v>44</v>
      </c>
      <c r="H179" t="s">
        <v>45</v>
      </c>
      <c r="I179" t="s">
        <v>46</v>
      </c>
      <c r="J179" t="s">
        <v>47</v>
      </c>
      <c r="K179" t="s">
        <v>173</v>
      </c>
      <c r="L179" t="s">
        <v>174</v>
      </c>
      <c r="M179" t="s">
        <v>175</v>
      </c>
      <c r="N179">
        <v>8</v>
      </c>
      <c r="O179">
        <v>4567500</v>
      </c>
      <c r="P179">
        <v>0.1</v>
      </c>
      <c r="Q179">
        <v>32886000</v>
      </c>
      <c r="R179">
        <v>28826257.780000001</v>
      </c>
      <c r="S179">
        <v>4059742.22</v>
      </c>
      <c r="T179" t="s">
        <v>40</v>
      </c>
      <c r="U179" t="str">
        <f t="shared" si="6"/>
        <v>2024-12</v>
      </c>
      <c r="V179">
        <f t="shared" si="7"/>
        <v>1</v>
      </c>
      <c r="W179" s="2">
        <f t="shared" si="8"/>
        <v>0.12344895152952624</v>
      </c>
    </row>
    <row r="180" spans="1:23">
      <c r="A180" t="s">
        <v>569</v>
      </c>
      <c r="B180" s="1">
        <v>45655</v>
      </c>
      <c r="C180" s="1">
        <v>45660</v>
      </c>
      <c r="D180" t="s">
        <v>570</v>
      </c>
      <c r="E180" t="s">
        <v>571</v>
      </c>
      <c r="F180" t="s">
        <v>35</v>
      </c>
      <c r="G180" t="s">
        <v>80</v>
      </c>
      <c r="H180" t="s">
        <v>45</v>
      </c>
      <c r="I180" t="s">
        <v>46</v>
      </c>
      <c r="J180" t="s">
        <v>27</v>
      </c>
      <c r="K180" t="s">
        <v>116</v>
      </c>
      <c r="L180" t="s">
        <v>117</v>
      </c>
      <c r="M180" t="s">
        <v>118</v>
      </c>
      <c r="N180">
        <v>1</v>
      </c>
      <c r="O180">
        <v>28000</v>
      </c>
      <c r="P180">
        <v>0.15</v>
      </c>
      <c r="Q180">
        <v>23800</v>
      </c>
      <c r="R180">
        <v>14305.9</v>
      </c>
      <c r="S180">
        <v>9494.1</v>
      </c>
      <c r="T180" t="s">
        <v>40</v>
      </c>
      <c r="U180" t="str">
        <f t="shared" si="6"/>
        <v>2024-12</v>
      </c>
      <c r="V180">
        <f t="shared" si="7"/>
        <v>5</v>
      </c>
      <c r="W180" s="2">
        <f t="shared" si="8"/>
        <v>0.39891176470588235</v>
      </c>
    </row>
    <row r="181" spans="1:23">
      <c r="A181" t="s">
        <v>572</v>
      </c>
      <c r="B181" s="1">
        <v>45705</v>
      </c>
      <c r="C181" s="1">
        <v>45711</v>
      </c>
      <c r="D181" t="s">
        <v>405</v>
      </c>
      <c r="E181" t="s">
        <v>470</v>
      </c>
      <c r="F181" t="s">
        <v>23</v>
      </c>
      <c r="G181" t="s">
        <v>169</v>
      </c>
      <c r="H181" t="s">
        <v>157</v>
      </c>
      <c r="I181" t="s">
        <v>57</v>
      </c>
      <c r="J181" t="s">
        <v>27</v>
      </c>
      <c r="K181" t="s">
        <v>28</v>
      </c>
      <c r="L181" t="s">
        <v>71</v>
      </c>
      <c r="M181" t="s">
        <v>72</v>
      </c>
      <c r="N181">
        <v>1</v>
      </c>
      <c r="O181">
        <v>49800</v>
      </c>
      <c r="P181">
        <v>0.05</v>
      </c>
      <c r="Q181">
        <v>47310</v>
      </c>
      <c r="R181">
        <v>27164.26</v>
      </c>
      <c r="S181">
        <v>20145.740000000002</v>
      </c>
      <c r="T181" t="s">
        <v>31</v>
      </c>
      <c r="U181" t="str">
        <f t="shared" si="6"/>
        <v>2025-02</v>
      </c>
      <c r="V181">
        <f t="shared" si="7"/>
        <v>6</v>
      </c>
      <c r="W181" s="2">
        <f t="shared" si="8"/>
        <v>0.42582413865990282</v>
      </c>
    </row>
    <row r="182" spans="1:23">
      <c r="A182" t="s">
        <v>573</v>
      </c>
      <c r="B182" s="1">
        <v>45310</v>
      </c>
      <c r="C182" s="1">
        <v>45314</v>
      </c>
      <c r="D182" t="s">
        <v>574</v>
      </c>
      <c r="E182" t="s">
        <v>575</v>
      </c>
      <c r="F182" t="s">
        <v>23</v>
      </c>
      <c r="G182" t="s">
        <v>87</v>
      </c>
      <c r="H182" t="s">
        <v>88</v>
      </c>
      <c r="I182" t="s">
        <v>46</v>
      </c>
      <c r="J182" t="s">
        <v>36</v>
      </c>
      <c r="K182" t="s">
        <v>37</v>
      </c>
      <c r="L182" t="s">
        <v>38</v>
      </c>
      <c r="M182" t="s">
        <v>39</v>
      </c>
      <c r="N182">
        <v>1</v>
      </c>
      <c r="O182">
        <v>1001500</v>
      </c>
      <c r="P182">
        <v>0.1</v>
      </c>
      <c r="Q182">
        <v>901350</v>
      </c>
      <c r="R182">
        <v>716417.4</v>
      </c>
      <c r="S182">
        <v>184932.6</v>
      </c>
      <c r="T182" t="s">
        <v>31</v>
      </c>
      <c r="U182" t="str">
        <f t="shared" si="6"/>
        <v>2024-01</v>
      </c>
      <c r="V182">
        <f t="shared" si="7"/>
        <v>4</v>
      </c>
      <c r="W182" s="2">
        <f t="shared" si="8"/>
        <v>0.20517290730570811</v>
      </c>
    </row>
    <row r="183" spans="1:23">
      <c r="A183" t="s">
        <v>576</v>
      </c>
      <c r="B183" s="1">
        <v>45774</v>
      </c>
      <c r="C183" s="1">
        <v>45778</v>
      </c>
      <c r="D183" t="s">
        <v>577</v>
      </c>
      <c r="E183" t="s">
        <v>578</v>
      </c>
      <c r="F183" t="s">
        <v>35</v>
      </c>
      <c r="G183" t="s">
        <v>55</v>
      </c>
      <c r="H183" t="s">
        <v>56</v>
      </c>
      <c r="I183" t="s">
        <v>57</v>
      </c>
      <c r="J183" t="s">
        <v>27</v>
      </c>
      <c r="K183" t="s">
        <v>28</v>
      </c>
      <c r="L183" t="s">
        <v>29</v>
      </c>
      <c r="M183" t="s">
        <v>30</v>
      </c>
      <c r="N183">
        <v>1</v>
      </c>
      <c r="O183">
        <v>65200</v>
      </c>
      <c r="P183">
        <v>0</v>
      </c>
      <c r="Q183">
        <v>65200</v>
      </c>
      <c r="R183">
        <v>34115.550000000003</v>
      </c>
      <c r="S183">
        <v>31084.45</v>
      </c>
      <c r="T183" t="s">
        <v>40</v>
      </c>
      <c r="U183" t="str">
        <f t="shared" si="6"/>
        <v>2025-04</v>
      </c>
      <c r="V183">
        <f t="shared" si="7"/>
        <v>4</v>
      </c>
      <c r="W183" s="2">
        <f t="shared" si="8"/>
        <v>0.47675536809815949</v>
      </c>
    </row>
    <row r="184" spans="1:23">
      <c r="A184" t="s">
        <v>579</v>
      </c>
      <c r="B184" s="1">
        <v>45789</v>
      </c>
      <c r="C184" s="1">
        <v>45792</v>
      </c>
      <c r="D184" t="s">
        <v>293</v>
      </c>
      <c r="E184" t="s">
        <v>580</v>
      </c>
      <c r="F184" t="s">
        <v>23</v>
      </c>
      <c r="G184" t="s">
        <v>156</v>
      </c>
      <c r="H184" t="s">
        <v>157</v>
      </c>
      <c r="I184" t="s">
        <v>57</v>
      </c>
      <c r="J184" t="s">
        <v>36</v>
      </c>
      <c r="K184" t="s">
        <v>81</v>
      </c>
      <c r="L184" t="s">
        <v>215</v>
      </c>
      <c r="M184" t="s">
        <v>216</v>
      </c>
      <c r="N184">
        <v>4</v>
      </c>
      <c r="O184">
        <v>1765900</v>
      </c>
      <c r="P184">
        <v>0.1</v>
      </c>
      <c r="Q184">
        <v>6357240</v>
      </c>
      <c r="R184">
        <v>4706367.3899999997</v>
      </c>
      <c r="S184">
        <v>1650872.61</v>
      </c>
      <c r="T184" t="s">
        <v>73</v>
      </c>
      <c r="U184" t="str">
        <f t="shared" si="6"/>
        <v>2025-05</v>
      </c>
      <c r="V184">
        <f t="shared" si="7"/>
        <v>3</v>
      </c>
      <c r="W184" s="2">
        <f t="shared" si="8"/>
        <v>0.25968385808935956</v>
      </c>
    </row>
    <row r="185" spans="1:23">
      <c r="A185" t="s">
        <v>581</v>
      </c>
      <c r="B185" s="1">
        <v>45737</v>
      </c>
      <c r="C185" s="1">
        <v>45740</v>
      </c>
      <c r="D185" t="s">
        <v>189</v>
      </c>
      <c r="E185" t="s">
        <v>582</v>
      </c>
      <c r="F185" t="s">
        <v>23</v>
      </c>
      <c r="G185" t="s">
        <v>156</v>
      </c>
      <c r="H185" t="s">
        <v>157</v>
      </c>
      <c r="I185" t="s">
        <v>57</v>
      </c>
      <c r="J185" t="s">
        <v>27</v>
      </c>
      <c r="K185" t="s">
        <v>116</v>
      </c>
      <c r="L185" t="s">
        <v>117</v>
      </c>
      <c r="M185" t="s">
        <v>118</v>
      </c>
      <c r="N185">
        <v>5</v>
      </c>
      <c r="O185">
        <v>29400</v>
      </c>
      <c r="P185">
        <v>0.3</v>
      </c>
      <c r="Q185">
        <v>102900</v>
      </c>
      <c r="R185">
        <v>69703.16</v>
      </c>
      <c r="S185">
        <v>33196.839999999997</v>
      </c>
      <c r="T185" t="s">
        <v>40</v>
      </c>
      <c r="U185" t="str">
        <f t="shared" si="6"/>
        <v>2025-03</v>
      </c>
      <c r="V185">
        <f t="shared" si="7"/>
        <v>3</v>
      </c>
      <c r="W185" s="2">
        <f t="shared" si="8"/>
        <v>0.32261263362487846</v>
      </c>
    </row>
    <row r="186" spans="1:23">
      <c r="A186" t="s">
        <v>583</v>
      </c>
      <c r="B186" s="1">
        <v>45338</v>
      </c>
      <c r="C186" s="1">
        <v>45342</v>
      </c>
      <c r="D186" t="s">
        <v>584</v>
      </c>
      <c r="E186" t="s">
        <v>585</v>
      </c>
      <c r="F186" t="s">
        <v>23</v>
      </c>
      <c r="G186" t="s">
        <v>156</v>
      </c>
      <c r="H186" t="s">
        <v>157</v>
      </c>
      <c r="I186" t="s">
        <v>57</v>
      </c>
      <c r="J186" t="s">
        <v>47</v>
      </c>
      <c r="K186" t="s">
        <v>48</v>
      </c>
      <c r="L186" t="s">
        <v>225</v>
      </c>
      <c r="M186" t="s">
        <v>226</v>
      </c>
      <c r="N186">
        <v>8</v>
      </c>
      <c r="O186">
        <v>246600</v>
      </c>
      <c r="P186">
        <v>0.05</v>
      </c>
      <c r="Q186">
        <v>1874160</v>
      </c>
      <c r="R186">
        <v>1167628.1399999999</v>
      </c>
      <c r="S186">
        <v>706531.86</v>
      </c>
      <c r="T186" t="s">
        <v>40</v>
      </c>
      <c r="U186" t="str">
        <f t="shared" si="6"/>
        <v>2024-02</v>
      </c>
      <c r="V186">
        <f t="shared" si="7"/>
        <v>4</v>
      </c>
      <c r="W186" s="2">
        <f t="shared" si="8"/>
        <v>0.37698588167499036</v>
      </c>
    </row>
    <row r="187" spans="1:23">
      <c r="A187" t="s">
        <v>586</v>
      </c>
      <c r="B187" s="1">
        <v>45336</v>
      </c>
      <c r="C187" s="1">
        <v>45341</v>
      </c>
      <c r="D187" t="s">
        <v>138</v>
      </c>
      <c r="E187" t="s">
        <v>587</v>
      </c>
      <c r="F187" t="s">
        <v>23</v>
      </c>
      <c r="G187" t="s">
        <v>87</v>
      </c>
      <c r="H187" t="s">
        <v>88</v>
      </c>
      <c r="I187" t="s">
        <v>46</v>
      </c>
      <c r="J187" t="s">
        <v>27</v>
      </c>
      <c r="K187" t="s">
        <v>28</v>
      </c>
      <c r="L187" t="s">
        <v>71</v>
      </c>
      <c r="M187" t="s">
        <v>72</v>
      </c>
      <c r="N187">
        <v>8</v>
      </c>
      <c r="O187">
        <v>42600</v>
      </c>
      <c r="P187">
        <v>0.15</v>
      </c>
      <c r="Q187">
        <v>289680</v>
      </c>
      <c r="R187">
        <v>187506.34</v>
      </c>
      <c r="S187">
        <v>102173.66</v>
      </c>
      <c r="T187" t="s">
        <v>40</v>
      </c>
      <c r="U187" t="str">
        <f t="shared" si="6"/>
        <v>2024-02</v>
      </c>
      <c r="V187">
        <f t="shared" si="7"/>
        <v>5</v>
      </c>
      <c r="W187" s="2">
        <f t="shared" si="8"/>
        <v>0.35271216514774928</v>
      </c>
    </row>
    <row r="188" spans="1:23">
      <c r="A188" t="s">
        <v>588</v>
      </c>
      <c r="B188" s="1">
        <v>45764</v>
      </c>
      <c r="C188" s="1">
        <v>45770</v>
      </c>
      <c r="D188" t="s">
        <v>485</v>
      </c>
      <c r="E188" t="s">
        <v>372</v>
      </c>
      <c r="F188" t="s">
        <v>23</v>
      </c>
      <c r="G188" t="s">
        <v>95</v>
      </c>
      <c r="H188" t="s">
        <v>96</v>
      </c>
      <c r="I188" t="s">
        <v>26</v>
      </c>
      <c r="J188" t="s">
        <v>36</v>
      </c>
      <c r="K188" t="s">
        <v>37</v>
      </c>
      <c r="L188" t="s">
        <v>58</v>
      </c>
      <c r="M188" t="s">
        <v>59</v>
      </c>
      <c r="N188">
        <v>4</v>
      </c>
      <c r="O188">
        <v>934000</v>
      </c>
      <c r="P188">
        <v>0</v>
      </c>
      <c r="Q188">
        <v>3736000</v>
      </c>
      <c r="R188">
        <v>2619736.2599999998</v>
      </c>
      <c r="S188">
        <v>1116263.74</v>
      </c>
      <c r="T188" t="s">
        <v>73</v>
      </c>
      <c r="U188" t="str">
        <f t="shared" si="6"/>
        <v>2025-04</v>
      </c>
      <c r="V188">
        <f t="shared" si="7"/>
        <v>6</v>
      </c>
      <c r="W188" s="2">
        <f t="shared" si="8"/>
        <v>0.29878579764453961</v>
      </c>
    </row>
    <row r="189" spans="1:23">
      <c r="A189" t="s">
        <v>589</v>
      </c>
      <c r="B189" s="1">
        <v>46021</v>
      </c>
      <c r="C189" s="1">
        <v>46026</v>
      </c>
      <c r="D189" t="s">
        <v>357</v>
      </c>
      <c r="E189" t="s">
        <v>590</v>
      </c>
      <c r="F189" t="s">
        <v>23</v>
      </c>
      <c r="G189" t="s">
        <v>87</v>
      </c>
      <c r="H189" t="s">
        <v>88</v>
      </c>
      <c r="I189" t="s">
        <v>46</v>
      </c>
      <c r="J189" t="s">
        <v>27</v>
      </c>
      <c r="K189" t="s">
        <v>116</v>
      </c>
      <c r="L189" t="s">
        <v>117</v>
      </c>
      <c r="M189" t="s">
        <v>118</v>
      </c>
      <c r="N189">
        <v>3</v>
      </c>
      <c r="O189">
        <v>29100</v>
      </c>
      <c r="P189">
        <v>0.1</v>
      </c>
      <c r="Q189">
        <v>78570</v>
      </c>
      <c r="R189">
        <v>45723.14</v>
      </c>
      <c r="S189">
        <v>32846.86</v>
      </c>
      <c r="T189" t="s">
        <v>60</v>
      </c>
      <c r="U189" t="str">
        <f t="shared" si="6"/>
        <v>2025-12</v>
      </c>
      <c r="V189">
        <f t="shared" si="7"/>
        <v>5</v>
      </c>
      <c r="W189" s="2">
        <f t="shared" si="8"/>
        <v>0.41805854651902763</v>
      </c>
    </row>
    <row r="190" spans="1:23">
      <c r="A190" t="s">
        <v>591</v>
      </c>
      <c r="B190" s="1">
        <v>45654</v>
      </c>
      <c r="C190" s="1">
        <v>45656</v>
      </c>
      <c r="D190" t="s">
        <v>114</v>
      </c>
      <c r="E190" t="s">
        <v>592</v>
      </c>
      <c r="F190" t="s">
        <v>54</v>
      </c>
      <c r="G190" t="s">
        <v>55</v>
      </c>
      <c r="H190" t="s">
        <v>56</v>
      </c>
      <c r="I190" t="s">
        <v>57</v>
      </c>
      <c r="J190" t="s">
        <v>27</v>
      </c>
      <c r="K190" t="s">
        <v>100</v>
      </c>
      <c r="L190" t="s">
        <v>101</v>
      </c>
      <c r="M190" t="s">
        <v>102</v>
      </c>
      <c r="N190">
        <v>8</v>
      </c>
      <c r="O190">
        <v>56400</v>
      </c>
      <c r="P190">
        <v>0.15</v>
      </c>
      <c r="Q190">
        <v>383520</v>
      </c>
      <c r="R190">
        <v>239169.86</v>
      </c>
      <c r="S190">
        <v>144350.14000000001</v>
      </c>
      <c r="T190" t="s">
        <v>40</v>
      </c>
      <c r="U190" t="str">
        <f t="shared" si="6"/>
        <v>2024-12</v>
      </c>
      <c r="V190">
        <f t="shared" si="7"/>
        <v>2</v>
      </c>
      <c r="W190" s="2">
        <f t="shared" si="8"/>
        <v>0.3763823007926575</v>
      </c>
    </row>
    <row r="191" spans="1:23">
      <c r="A191" t="s">
        <v>593</v>
      </c>
      <c r="B191" s="1">
        <v>45972</v>
      </c>
      <c r="C191" s="1">
        <v>45978</v>
      </c>
      <c r="D191" t="s">
        <v>594</v>
      </c>
      <c r="E191" t="s">
        <v>595</v>
      </c>
      <c r="F191" t="s">
        <v>23</v>
      </c>
      <c r="G191" t="s">
        <v>55</v>
      </c>
      <c r="H191" t="s">
        <v>56</v>
      </c>
      <c r="I191" t="s">
        <v>57</v>
      </c>
      <c r="J191" t="s">
        <v>36</v>
      </c>
      <c r="K191" t="s">
        <v>37</v>
      </c>
      <c r="L191" t="s">
        <v>38</v>
      </c>
      <c r="M191" t="s">
        <v>39</v>
      </c>
      <c r="N191">
        <v>2</v>
      </c>
      <c r="O191">
        <v>1048500</v>
      </c>
      <c r="P191">
        <v>0.1</v>
      </c>
      <c r="Q191">
        <v>1887300</v>
      </c>
      <c r="R191">
        <v>1447435.74</v>
      </c>
      <c r="S191">
        <v>439864.26</v>
      </c>
      <c r="T191" t="s">
        <v>60</v>
      </c>
      <c r="U191" t="str">
        <f t="shared" si="6"/>
        <v>2025-11</v>
      </c>
      <c r="V191">
        <f t="shared" si="7"/>
        <v>6</v>
      </c>
      <c r="W191" s="2">
        <f t="shared" si="8"/>
        <v>0.23306536321729454</v>
      </c>
    </row>
    <row r="192" spans="1:23">
      <c r="A192" t="s">
        <v>596</v>
      </c>
      <c r="B192" s="1">
        <v>45141</v>
      </c>
      <c r="C192" s="1">
        <v>45144</v>
      </c>
      <c r="D192" t="s">
        <v>377</v>
      </c>
      <c r="E192" t="s">
        <v>597</v>
      </c>
      <c r="F192" t="s">
        <v>54</v>
      </c>
      <c r="G192" t="s">
        <v>44</v>
      </c>
      <c r="H192" t="s">
        <v>45</v>
      </c>
      <c r="I192" t="s">
        <v>46</v>
      </c>
      <c r="J192" t="s">
        <v>36</v>
      </c>
      <c r="K192" t="s">
        <v>81</v>
      </c>
      <c r="L192" t="s">
        <v>215</v>
      </c>
      <c r="M192" t="s">
        <v>216</v>
      </c>
      <c r="N192">
        <v>2</v>
      </c>
      <c r="O192">
        <v>1707100</v>
      </c>
      <c r="P192">
        <v>0.15</v>
      </c>
      <c r="Q192">
        <v>2902070</v>
      </c>
      <c r="R192">
        <v>2293357.92</v>
      </c>
      <c r="S192">
        <v>608712.07999999996</v>
      </c>
      <c r="T192" t="s">
        <v>73</v>
      </c>
      <c r="U192" t="str">
        <f t="shared" si="6"/>
        <v>2023-08</v>
      </c>
      <c r="V192">
        <f t="shared" si="7"/>
        <v>3</v>
      </c>
      <c r="W192" s="2">
        <f t="shared" si="8"/>
        <v>0.20975099842526196</v>
      </c>
    </row>
    <row r="193" spans="1:23">
      <c r="A193" t="s">
        <v>598</v>
      </c>
      <c r="B193" s="1">
        <v>45824</v>
      </c>
      <c r="C193" s="1">
        <v>45830</v>
      </c>
      <c r="D193" t="s">
        <v>374</v>
      </c>
      <c r="E193" t="s">
        <v>599</v>
      </c>
      <c r="F193" t="s">
        <v>23</v>
      </c>
      <c r="G193" t="s">
        <v>44</v>
      </c>
      <c r="H193" t="s">
        <v>45</v>
      </c>
      <c r="I193" t="s">
        <v>46</v>
      </c>
      <c r="J193" t="s">
        <v>27</v>
      </c>
      <c r="K193" t="s">
        <v>179</v>
      </c>
      <c r="L193" t="s">
        <v>180</v>
      </c>
      <c r="M193" t="s">
        <v>181</v>
      </c>
      <c r="N193">
        <v>1</v>
      </c>
      <c r="O193">
        <v>54600</v>
      </c>
      <c r="P193">
        <v>0</v>
      </c>
      <c r="Q193">
        <v>54600</v>
      </c>
      <c r="R193">
        <v>30500.84</v>
      </c>
      <c r="S193">
        <v>24099.16</v>
      </c>
      <c r="T193" t="s">
        <v>31</v>
      </c>
      <c r="U193" t="str">
        <f t="shared" si="6"/>
        <v>2025-06</v>
      </c>
      <c r="V193">
        <f t="shared" si="7"/>
        <v>6</v>
      </c>
      <c r="W193" s="2">
        <f t="shared" si="8"/>
        <v>0.44137655677655679</v>
      </c>
    </row>
    <row r="194" spans="1:23">
      <c r="A194" t="s">
        <v>600</v>
      </c>
      <c r="B194" s="1">
        <v>45254</v>
      </c>
      <c r="C194" s="1">
        <v>45257</v>
      </c>
      <c r="D194" t="s">
        <v>269</v>
      </c>
      <c r="E194" t="s">
        <v>383</v>
      </c>
      <c r="F194" t="s">
        <v>35</v>
      </c>
      <c r="G194" t="s">
        <v>24</v>
      </c>
      <c r="H194" t="s">
        <v>25</v>
      </c>
      <c r="I194" t="s">
        <v>26</v>
      </c>
      <c r="J194" t="s">
        <v>36</v>
      </c>
      <c r="K194" t="s">
        <v>89</v>
      </c>
      <c r="L194" t="s">
        <v>90</v>
      </c>
      <c r="M194" t="s">
        <v>91</v>
      </c>
      <c r="N194">
        <v>1</v>
      </c>
      <c r="O194">
        <v>3290500</v>
      </c>
      <c r="P194">
        <v>0.05</v>
      </c>
      <c r="Q194">
        <v>3125975</v>
      </c>
      <c r="R194">
        <v>2408982.7599999998</v>
      </c>
      <c r="S194">
        <v>716992.24</v>
      </c>
      <c r="T194" t="s">
        <v>73</v>
      </c>
      <c r="U194" t="str">
        <f t="shared" si="6"/>
        <v>2023-11</v>
      </c>
      <c r="V194">
        <f t="shared" si="7"/>
        <v>3</v>
      </c>
      <c r="W194" s="2">
        <f t="shared" si="8"/>
        <v>0.22936595462215789</v>
      </c>
    </row>
    <row r="195" spans="1:23">
      <c r="A195" t="s">
        <v>601</v>
      </c>
      <c r="B195" s="1">
        <v>45806</v>
      </c>
      <c r="C195" s="1">
        <v>45810</v>
      </c>
      <c r="D195" t="s">
        <v>183</v>
      </c>
      <c r="E195" t="s">
        <v>602</v>
      </c>
      <c r="F195" t="s">
        <v>23</v>
      </c>
      <c r="G195" t="s">
        <v>24</v>
      </c>
      <c r="H195" t="s">
        <v>25</v>
      </c>
      <c r="I195" t="s">
        <v>26</v>
      </c>
      <c r="J195" t="s">
        <v>47</v>
      </c>
      <c r="K195" t="s">
        <v>173</v>
      </c>
      <c r="L195" t="s">
        <v>174</v>
      </c>
      <c r="M195" t="s">
        <v>175</v>
      </c>
      <c r="N195">
        <v>3</v>
      </c>
      <c r="O195">
        <v>5056700</v>
      </c>
      <c r="P195">
        <v>0.1</v>
      </c>
      <c r="Q195">
        <v>13653090</v>
      </c>
      <c r="R195">
        <v>11349735.140000001</v>
      </c>
      <c r="S195">
        <v>2303354.86</v>
      </c>
      <c r="T195" t="s">
        <v>31</v>
      </c>
      <c r="U195" t="str">
        <f t="shared" ref="U195:U258" si="9">TEXT(B195,"yyyy-mm")</f>
        <v>2025-05</v>
      </c>
      <c r="V195">
        <f t="shared" ref="V195:V258" si="10">C195-B195</f>
        <v>4</v>
      </c>
      <c r="W195" s="2">
        <f t="shared" ref="W195:W258" si="11">IF(Q195=0,0,S195/Q195)</f>
        <v>0.16870575525393885</v>
      </c>
    </row>
    <row r="196" spans="1:23">
      <c r="A196" t="s">
        <v>603</v>
      </c>
      <c r="B196" s="1">
        <v>45464</v>
      </c>
      <c r="C196" s="1">
        <v>45470</v>
      </c>
      <c r="D196" t="s">
        <v>604</v>
      </c>
      <c r="E196" t="s">
        <v>605</v>
      </c>
      <c r="F196" t="s">
        <v>23</v>
      </c>
      <c r="G196" t="s">
        <v>55</v>
      </c>
      <c r="H196" t="s">
        <v>56</v>
      </c>
      <c r="I196" t="s">
        <v>57</v>
      </c>
      <c r="J196" t="s">
        <v>27</v>
      </c>
      <c r="K196" t="s">
        <v>179</v>
      </c>
      <c r="L196" t="s">
        <v>180</v>
      </c>
      <c r="M196" t="s">
        <v>181</v>
      </c>
      <c r="N196">
        <v>3</v>
      </c>
      <c r="O196">
        <v>54700</v>
      </c>
      <c r="P196">
        <v>0.2</v>
      </c>
      <c r="Q196">
        <v>131280</v>
      </c>
      <c r="R196">
        <v>89604.55</v>
      </c>
      <c r="S196">
        <v>41675.449999999997</v>
      </c>
      <c r="T196" t="s">
        <v>40</v>
      </c>
      <c r="U196" t="str">
        <f t="shared" si="9"/>
        <v>2024-06</v>
      </c>
      <c r="V196">
        <f t="shared" si="10"/>
        <v>6</v>
      </c>
      <c r="W196" s="2">
        <f t="shared" si="11"/>
        <v>0.3174546770262035</v>
      </c>
    </row>
    <row r="197" spans="1:23">
      <c r="A197" t="s">
        <v>606</v>
      </c>
      <c r="B197" s="1">
        <v>45100</v>
      </c>
      <c r="C197" s="1">
        <v>45106</v>
      </c>
      <c r="D197" t="s">
        <v>299</v>
      </c>
      <c r="E197" t="s">
        <v>607</v>
      </c>
      <c r="F197" t="s">
        <v>23</v>
      </c>
      <c r="G197" t="s">
        <v>24</v>
      </c>
      <c r="H197" t="s">
        <v>25</v>
      </c>
      <c r="I197" t="s">
        <v>26</v>
      </c>
      <c r="J197" t="s">
        <v>47</v>
      </c>
      <c r="K197" t="s">
        <v>142</v>
      </c>
      <c r="L197" t="s">
        <v>143</v>
      </c>
      <c r="M197" t="s">
        <v>144</v>
      </c>
      <c r="N197">
        <v>2</v>
      </c>
      <c r="O197">
        <v>5679700</v>
      </c>
      <c r="P197">
        <v>0.05</v>
      </c>
      <c r="Q197">
        <v>10791430</v>
      </c>
      <c r="R197">
        <v>9337748.0999999996</v>
      </c>
      <c r="S197">
        <v>1453681.9</v>
      </c>
      <c r="T197" t="s">
        <v>73</v>
      </c>
      <c r="U197" t="str">
        <f t="shared" si="9"/>
        <v>2023-06</v>
      </c>
      <c r="V197">
        <f t="shared" si="10"/>
        <v>6</v>
      </c>
      <c r="W197" s="2">
        <f t="shared" si="11"/>
        <v>0.13470706847933961</v>
      </c>
    </row>
    <row r="198" spans="1:23">
      <c r="A198" t="s">
        <v>608</v>
      </c>
      <c r="B198" s="1">
        <v>45923</v>
      </c>
      <c r="C198" s="1">
        <v>45929</v>
      </c>
      <c r="D198" t="s">
        <v>317</v>
      </c>
      <c r="E198" t="s">
        <v>595</v>
      </c>
      <c r="F198" t="s">
        <v>35</v>
      </c>
      <c r="G198" t="s">
        <v>80</v>
      </c>
      <c r="H198" t="s">
        <v>45</v>
      </c>
      <c r="I198" t="s">
        <v>46</v>
      </c>
      <c r="J198" t="s">
        <v>36</v>
      </c>
      <c r="K198" t="s">
        <v>37</v>
      </c>
      <c r="L198" t="s">
        <v>58</v>
      </c>
      <c r="M198" t="s">
        <v>59</v>
      </c>
      <c r="N198">
        <v>1</v>
      </c>
      <c r="O198">
        <v>818800</v>
      </c>
      <c r="P198">
        <v>0.2</v>
      </c>
      <c r="Q198">
        <v>655040</v>
      </c>
      <c r="R198">
        <v>548465.11</v>
      </c>
      <c r="S198">
        <v>106574.89</v>
      </c>
      <c r="T198" t="s">
        <v>40</v>
      </c>
      <c r="U198" t="str">
        <f t="shared" si="9"/>
        <v>2025-09</v>
      </c>
      <c r="V198">
        <f t="shared" si="10"/>
        <v>6</v>
      </c>
      <c r="W198" s="2">
        <f t="shared" si="11"/>
        <v>0.16269981985832926</v>
      </c>
    </row>
    <row r="199" spans="1:23">
      <c r="A199" t="s">
        <v>609</v>
      </c>
      <c r="B199" s="1">
        <v>45206</v>
      </c>
      <c r="C199" s="1">
        <v>45208</v>
      </c>
      <c r="D199" t="s">
        <v>610</v>
      </c>
      <c r="E199" t="s">
        <v>580</v>
      </c>
      <c r="F199" t="s">
        <v>35</v>
      </c>
      <c r="G199" t="s">
        <v>169</v>
      </c>
      <c r="H199" t="s">
        <v>157</v>
      </c>
      <c r="I199" t="s">
        <v>57</v>
      </c>
      <c r="J199" t="s">
        <v>27</v>
      </c>
      <c r="K199" t="s">
        <v>116</v>
      </c>
      <c r="L199" t="s">
        <v>207</v>
      </c>
      <c r="M199" t="s">
        <v>208</v>
      </c>
      <c r="N199">
        <v>4</v>
      </c>
      <c r="O199">
        <v>114700</v>
      </c>
      <c r="P199">
        <v>0</v>
      </c>
      <c r="Q199">
        <v>458800</v>
      </c>
      <c r="R199">
        <v>267662.07</v>
      </c>
      <c r="S199">
        <v>191137.93</v>
      </c>
      <c r="T199" t="s">
        <v>40</v>
      </c>
      <c r="U199" t="str">
        <f t="shared" si="9"/>
        <v>2023-10</v>
      </c>
      <c r="V199">
        <f t="shared" si="10"/>
        <v>2</v>
      </c>
      <c r="W199" s="2">
        <f t="shared" si="11"/>
        <v>0.41660403225806453</v>
      </c>
    </row>
    <row r="200" spans="1:23">
      <c r="A200" t="s">
        <v>611</v>
      </c>
      <c r="B200" s="1">
        <v>45489</v>
      </c>
      <c r="C200" s="1">
        <v>45491</v>
      </c>
      <c r="D200" t="s">
        <v>328</v>
      </c>
      <c r="E200" t="s">
        <v>612</v>
      </c>
      <c r="F200" t="s">
        <v>35</v>
      </c>
      <c r="G200" t="s">
        <v>64</v>
      </c>
      <c r="H200" t="s">
        <v>65</v>
      </c>
      <c r="I200" t="s">
        <v>57</v>
      </c>
      <c r="J200" t="s">
        <v>36</v>
      </c>
      <c r="K200" t="s">
        <v>81</v>
      </c>
      <c r="L200" t="s">
        <v>82</v>
      </c>
      <c r="M200" t="s">
        <v>83</v>
      </c>
      <c r="N200">
        <v>2</v>
      </c>
      <c r="O200">
        <v>601200</v>
      </c>
      <c r="P200">
        <v>0</v>
      </c>
      <c r="Q200">
        <v>1202400</v>
      </c>
      <c r="R200">
        <v>808601.26</v>
      </c>
      <c r="S200">
        <v>393798.74</v>
      </c>
      <c r="T200" t="s">
        <v>40</v>
      </c>
      <c r="U200" t="str">
        <f t="shared" si="9"/>
        <v>2024-07</v>
      </c>
      <c r="V200">
        <f t="shared" si="10"/>
        <v>2</v>
      </c>
      <c r="W200" s="2">
        <f t="shared" si="11"/>
        <v>0.3275105954757152</v>
      </c>
    </row>
    <row r="201" spans="1:23">
      <c r="A201" t="s">
        <v>613</v>
      </c>
      <c r="B201" s="1">
        <v>45012</v>
      </c>
      <c r="C201" s="1">
        <v>45019</v>
      </c>
      <c r="D201" t="s">
        <v>614</v>
      </c>
      <c r="E201" t="s">
        <v>615</v>
      </c>
      <c r="F201" t="s">
        <v>23</v>
      </c>
      <c r="G201" t="s">
        <v>169</v>
      </c>
      <c r="H201" t="s">
        <v>157</v>
      </c>
      <c r="I201" t="s">
        <v>57</v>
      </c>
      <c r="J201" t="s">
        <v>27</v>
      </c>
      <c r="K201" t="s">
        <v>28</v>
      </c>
      <c r="L201" t="s">
        <v>29</v>
      </c>
      <c r="M201" t="s">
        <v>30</v>
      </c>
      <c r="N201">
        <v>1</v>
      </c>
      <c r="O201">
        <v>76100</v>
      </c>
      <c r="P201">
        <v>0.05</v>
      </c>
      <c r="Q201">
        <v>72295</v>
      </c>
      <c r="R201">
        <v>40901.47</v>
      </c>
      <c r="S201">
        <v>31393.53</v>
      </c>
      <c r="T201" t="s">
        <v>73</v>
      </c>
      <c r="U201" t="str">
        <f t="shared" si="9"/>
        <v>2023-03</v>
      </c>
      <c r="V201">
        <f t="shared" si="10"/>
        <v>7</v>
      </c>
      <c r="W201" s="2">
        <f t="shared" si="11"/>
        <v>0.4342420637665122</v>
      </c>
    </row>
    <row r="202" spans="1:23">
      <c r="A202" t="s">
        <v>616</v>
      </c>
      <c r="B202" s="1">
        <v>45167</v>
      </c>
      <c r="C202" s="1">
        <v>45174</v>
      </c>
      <c r="D202" t="s">
        <v>123</v>
      </c>
      <c r="E202" t="s">
        <v>467</v>
      </c>
      <c r="F202" t="s">
        <v>35</v>
      </c>
      <c r="G202" t="s">
        <v>55</v>
      </c>
      <c r="H202" t="s">
        <v>56</v>
      </c>
      <c r="I202" t="s">
        <v>57</v>
      </c>
      <c r="J202" t="s">
        <v>27</v>
      </c>
      <c r="K202" t="s">
        <v>28</v>
      </c>
      <c r="L202" t="s">
        <v>29</v>
      </c>
      <c r="M202" t="s">
        <v>30</v>
      </c>
      <c r="N202">
        <v>1</v>
      </c>
      <c r="O202">
        <v>63300</v>
      </c>
      <c r="P202">
        <v>0</v>
      </c>
      <c r="Q202">
        <v>63300</v>
      </c>
      <c r="R202">
        <v>33392.480000000003</v>
      </c>
      <c r="S202">
        <v>29907.52</v>
      </c>
      <c r="T202" t="s">
        <v>40</v>
      </c>
      <c r="U202" t="str">
        <f t="shared" si="9"/>
        <v>2023-08</v>
      </c>
      <c r="V202">
        <f t="shared" si="10"/>
        <v>7</v>
      </c>
      <c r="W202" s="2">
        <f t="shared" si="11"/>
        <v>0.47247266982622432</v>
      </c>
    </row>
    <row r="203" spans="1:23">
      <c r="A203" t="s">
        <v>617</v>
      </c>
      <c r="B203" s="1">
        <v>46017</v>
      </c>
      <c r="C203" s="1">
        <v>46020</v>
      </c>
      <c r="D203" t="s">
        <v>618</v>
      </c>
      <c r="E203" t="s">
        <v>619</v>
      </c>
      <c r="F203" t="s">
        <v>54</v>
      </c>
      <c r="G203" t="s">
        <v>156</v>
      </c>
      <c r="H203" t="s">
        <v>157</v>
      </c>
      <c r="I203" t="s">
        <v>57</v>
      </c>
      <c r="J203" t="s">
        <v>36</v>
      </c>
      <c r="K203" t="s">
        <v>81</v>
      </c>
      <c r="L203" t="s">
        <v>82</v>
      </c>
      <c r="M203" t="s">
        <v>83</v>
      </c>
      <c r="N203">
        <v>1</v>
      </c>
      <c r="O203">
        <v>623200</v>
      </c>
      <c r="P203">
        <v>0.2</v>
      </c>
      <c r="Q203">
        <v>498560</v>
      </c>
      <c r="R203">
        <v>430003.4</v>
      </c>
      <c r="S203">
        <v>68556.600000000006</v>
      </c>
      <c r="T203" t="s">
        <v>60</v>
      </c>
      <c r="U203" t="str">
        <f t="shared" si="9"/>
        <v>2025-12</v>
      </c>
      <c r="V203">
        <f t="shared" si="10"/>
        <v>3</v>
      </c>
      <c r="W203" s="2">
        <f t="shared" si="11"/>
        <v>0.1375092265725289</v>
      </c>
    </row>
    <row r="204" spans="1:23">
      <c r="A204" t="s">
        <v>620</v>
      </c>
      <c r="B204" s="1">
        <v>45769</v>
      </c>
      <c r="C204" s="1">
        <v>45770</v>
      </c>
      <c r="D204" t="s">
        <v>239</v>
      </c>
      <c r="E204" t="s">
        <v>621</v>
      </c>
      <c r="F204" t="s">
        <v>23</v>
      </c>
      <c r="G204" t="s">
        <v>80</v>
      </c>
      <c r="H204" t="s">
        <v>45</v>
      </c>
      <c r="I204" t="s">
        <v>46</v>
      </c>
      <c r="J204" t="s">
        <v>27</v>
      </c>
      <c r="K204" t="s">
        <v>28</v>
      </c>
      <c r="L204" t="s">
        <v>71</v>
      </c>
      <c r="M204" t="s">
        <v>72</v>
      </c>
      <c r="N204">
        <v>5</v>
      </c>
      <c r="O204">
        <v>48000</v>
      </c>
      <c r="P204">
        <v>0.1</v>
      </c>
      <c r="Q204">
        <v>216000</v>
      </c>
      <c r="R204">
        <v>126500.98</v>
      </c>
      <c r="S204">
        <v>89499.02</v>
      </c>
      <c r="T204" t="s">
        <v>60</v>
      </c>
      <c r="U204" t="str">
        <f t="shared" si="9"/>
        <v>2025-04</v>
      </c>
      <c r="V204">
        <f t="shared" si="10"/>
        <v>1</v>
      </c>
      <c r="W204" s="2">
        <f t="shared" si="11"/>
        <v>0.41434731481481485</v>
      </c>
    </row>
    <row r="205" spans="1:23">
      <c r="A205" t="s">
        <v>622</v>
      </c>
      <c r="B205" s="1">
        <v>45695</v>
      </c>
      <c r="C205" s="1">
        <v>45699</v>
      </c>
      <c r="D205" t="s">
        <v>266</v>
      </c>
      <c r="E205" t="s">
        <v>623</v>
      </c>
      <c r="F205" t="s">
        <v>23</v>
      </c>
      <c r="G205" t="s">
        <v>169</v>
      </c>
      <c r="H205" t="s">
        <v>157</v>
      </c>
      <c r="I205" t="s">
        <v>57</v>
      </c>
      <c r="J205" t="s">
        <v>47</v>
      </c>
      <c r="K205" t="s">
        <v>142</v>
      </c>
      <c r="L205" t="s">
        <v>143</v>
      </c>
      <c r="M205" t="s">
        <v>144</v>
      </c>
      <c r="N205">
        <v>3</v>
      </c>
      <c r="O205">
        <v>6667400</v>
      </c>
      <c r="P205">
        <v>0.05</v>
      </c>
      <c r="Q205">
        <v>19002090</v>
      </c>
      <c r="R205">
        <v>16216916.18</v>
      </c>
      <c r="S205">
        <v>2785173.82</v>
      </c>
      <c r="T205" t="s">
        <v>60</v>
      </c>
      <c r="U205" t="str">
        <f t="shared" si="9"/>
        <v>2025-02</v>
      </c>
      <c r="V205">
        <f t="shared" si="10"/>
        <v>4</v>
      </c>
      <c r="W205" s="2">
        <f t="shared" si="11"/>
        <v>0.14657197287245771</v>
      </c>
    </row>
    <row r="206" spans="1:23">
      <c r="A206" t="s">
        <v>624</v>
      </c>
      <c r="B206" s="1">
        <v>45117</v>
      </c>
      <c r="C206" s="1">
        <v>45123</v>
      </c>
      <c r="D206" t="s">
        <v>257</v>
      </c>
      <c r="E206" t="s">
        <v>625</v>
      </c>
      <c r="F206" t="s">
        <v>35</v>
      </c>
      <c r="G206" t="s">
        <v>44</v>
      </c>
      <c r="H206" t="s">
        <v>45</v>
      </c>
      <c r="I206" t="s">
        <v>46</v>
      </c>
      <c r="J206" t="s">
        <v>27</v>
      </c>
      <c r="K206" t="s">
        <v>179</v>
      </c>
      <c r="L206" t="s">
        <v>180</v>
      </c>
      <c r="M206" t="s">
        <v>181</v>
      </c>
      <c r="N206">
        <v>1</v>
      </c>
      <c r="O206">
        <v>55700</v>
      </c>
      <c r="P206">
        <v>0</v>
      </c>
      <c r="Q206">
        <v>55700</v>
      </c>
      <c r="R206">
        <v>29075.52</v>
      </c>
      <c r="S206">
        <v>26624.48</v>
      </c>
      <c r="T206" t="s">
        <v>40</v>
      </c>
      <c r="U206" t="str">
        <f t="shared" si="9"/>
        <v>2023-07</v>
      </c>
      <c r="V206">
        <f t="shared" si="10"/>
        <v>6</v>
      </c>
      <c r="W206" s="2">
        <f t="shared" si="11"/>
        <v>0.47799784560143627</v>
      </c>
    </row>
    <row r="207" spans="1:23">
      <c r="A207" t="s">
        <v>626</v>
      </c>
      <c r="B207" s="1">
        <v>45194</v>
      </c>
      <c r="C207" s="1">
        <v>45199</v>
      </c>
      <c r="D207" t="s">
        <v>263</v>
      </c>
      <c r="E207" t="s">
        <v>627</v>
      </c>
      <c r="F207" t="s">
        <v>23</v>
      </c>
      <c r="G207" t="s">
        <v>140</v>
      </c>
      <c r="H207" t="s">
        <v>141</v>
      </c>
      <c r="I207" t="s">
        <v>46</v>
      </c>
      <c r="J207" t="s">
        <v>27</v>
      </c>
      <c r="K207" t="s">
        <v>179</v>
      </c>
      <c r="L207" t="s">
        <v>180</v>
      </c>
      <c r="M207" t="s">
        <v>181</v>
      </c>
      <c r="N207">
        <v>1</v>
      </c>
      <c r="O207">
        <v>61900</v>
      </c>
      <c r="P207">
        <v>0</v>
      </c>
      <c r="Q207">
        <v>61900</v>
      </c>
      <c r="R207">
        <v>33113.660000000003</v>
      </c>
      <c r="S207">
        <v>28786.34</v>
      </c>
      <c r="T207" t="s">
        <v>40</v>
      </c>
      <c r="U207" t="str">
        <f t="shared" si="9"/>
        <v>2023-09</v>
      </c>
      <c r="V207">
        <f t="shared" si="10"/>
        <v>5</v>
      </c>
      <c r="W207" s="2">
        <f t="shared" si="11"/>
        <v>0.46504588045234246</v>
      </c>
    </row>
    <row r="208" spans="1:23">
      <c r="A208" t="s">
        <v>628</v>
      </c>
      <c r="B208" s="1">
        <v>45197</v>
      </c>
      <c r="C208" s="1">
        <v>45203</v>
      </c>
      <c r="D208" t="s">
        <v>629</v>
      </c>
      <c r="E208" t="s">
        <v>630</v>
      </c>
      <c r="F208" t="s">
        <v>35</v>
      </c>
      <c r="G208" t="s">
        <v>44</v>
      </c>
      <c r="H208" t="s">
        <v>45</v>
      </c>
      <c r="I208" t="s">
        <v>46</v>
      </c>
      <c r="J208" t="s">
        <v>47</v>
      </c>
      <c r="K208" t="s">
        <v>48</v>
      </c>
      <c r="L208" t="s">
        <v>66</v>
      </c>
      <c r="M208" t="s">
        <v>67</v>
      </c>
      <c r="N208">
        <v>1</v>
      </c>
      <c r="O208">
        <v>130800</v>
      </c>
      <c r="P208">
        <v>0.1</v>
      </c>
      <c r="Q208">
        <v>117720</v>
      </c>
      <c r="R208">
        <v>72581.539999999994</v>
      </c>
      <c r="S208">
        <v>45138.46</v>
      </c>
      <c r="T208" t="s">
        <v>60</v>
      </c>
      <c r="U208" t="str">
        <f t="shared" si="9"/>
        <v>2023-09</v>
      </c>
      <c r="V208">
        <f t="shared" si="10"/>
        <v>6</v>
      </c>
      <c r="W208" s="2">
        <f t="shared" si="11"/>
        <v>0.38343917770981989</v>
      </c>
    </row>
    <row r="209" spans="1:23">
      <c r="A209" t="s">
        <v>631</v>
      </c>
      <c r="B209" s="1">
        <v>45406</v>
      </c>
      <c r="C209" s="1">
        <v>45410</v>
      </c>
      <c r="D209" t="s">
        <v>632</v>
      </c>
      <c r="E209" t="s">
        <v>633</v>
      </c>
      <c r="F209" t="s">
        <v>23</v>
      </c>
      <c r="G209" t="s">
        <v>140</v>
      </c>
      <c r="H209" t="s">
        <v>141</v>
      </c>
      <c r="I209" t="s">
        <v>46</v>
      </c>
      <c r="J209" t="s">
        <v>27</v>
      </c>
      <c r="K209" t="s">
        <v>100</v>
      </c>
      <c r="L209" t="s">
        <v>105</v>
      </c>
      <c r="M209" t="s">
        <v>106</v>
      </c>
      <c r="N209">
        <v>1</v>
      </c>
      <c r="O209">
        <v>72200</v>
      </c>
      <c r="P209">
        <v>0.1</v>
      </c>
      <c r="Q209">
        <v>64980</v>
      </c>
      <c r="R209">
        <v>39832.76</v>
      </c>
      <c r="S209">
        <v>25147.24</v>
      </c>
      <c r="T209" t="s">
        <v>31</v>
      </c>
      <c r="U209" t="str">
        <f t="shared" si="9"/>
        <v>2024-04</v>
      </c>
      <c r="V209">
        <f t="shared" si="10"/>
        <v>4</v>
      </c>
      <c r="W209" s="2">
        <f t="shared" si="11"/>
        <v>0.38699969221298863</v>
      </c>
    </row>
    <row r="210" spans="1:23">
      <c r="A210" t="s">
        <v>634</v>
      </c>
      <c r="B210" s="1">
        <v>45791</v>
      </c>
      <c r="C210" s="1">
        <v>45797</v>
      </c>
      <c r="D210" t="s">
        <v>146</v>
      </c>
      <c r="E210" t="s">
        <v>635</v>
      </c>
      <c r="F210" t="s">
        <v>23</v>
      </c>
      <c r="G210" t="s">
        <v>24</v>
      </c>
      <c r="H210" t="s">
        <v>25</v>
      </c>
      <c r="I210" t="s">
        <v>26</v>
      </c>
      <c r="J210" t="s">
        <v>47</v>
      </c>
      <c r="K210" t="s">
        <v>142</v>
      </c>
      <c r="L210" t="s">
        <v>143</v>
      </c>
      <c r="M210" t="s">
        <v>144</v>
      </c>
      <c r="N210">
        <v>1</v>
      </c>
      <c r="O210">
        <v>5983300</v>
      </c>
      <c r="P210">
        <v>0</v>
      </c>
      <c r="Q210">
        <v>5983300</v>
      </c>
      <c r="R210">
        <v>4785461.2300000004</v>
      </c>
      <c r="S210">
        <v>1197838.77</v>
      </c>
      <c r="T210" t="s">
        <v>31</v>
      </c>
      <c r="U210" t="str">
        <f t="shared" si="9"/>
        <v>2025-05</v>
      </c>
      <c r="V210">
        <f t="shared" si="10"/>
        <v>6</v>
      </c>
      <c r="W210" s="2">
        <f t="shared" si="11"/>
        <v>0.20019701001119783</v>
      </c>
    </row>
    <row r="211" spans="1:23">
      <c r="A211" t="s">
        <v>636</v>
      </c>
      <c r="B211" s="1">
        <v>45219</v>
      </c>
      <c r="C211" s="1">
        <v>45220</v>
      </c>
      <c r="D211" t="s">
        <v>488</v>
      </c>
      <c r="E211" t="s">
        <v>637</v>
      </c>
      <c r="F211" t="s">
        <v>35</v>
      </c>
      <c r="G211" t="s">
        <v>55</v>
      </c>
      <c r="H211" t="s">
        <v>56</v>
      </c>
      <c r="I211" t="s">
        <v>57</v>
      </c>
      <c r="J211" t="s">
        <v>36</v>
      </c>
      <c r="K211" t="s">
        <v>81</v>
      </c>
      <c r="L211" t="s">
        <v>215</v>
      </c>
      <c r="M211" t="s">
        <v>216</v>
      </c>
      <c r="N211">
        <v>2</v>
      </c>
      <c r="O211">
        <v>1657000</v>
      </c>
      <c r="P211">
        <v>0.15</v>
      </c>
      <c r="Q211">
        <v>2816900</v>
      </c>
      <c r="R211">
        <v>2339441.7999999998</v>
      </c>
      <c r="S211">
        <v>477458.2</v>
      </c>
      <c r="T211" t="s">
        <v>40</v>
      </c>
      <c r="U211" t="str">
        <f t="shared" si="9"/>
        <v>2023-10</v>
      </c>
      <c r="V211">
        <f t="shared" si="10"/>
        <v>1</v>
      </c>
      <c r="W211" s="2">
        <f t="shared" si="11"/>
        <v>0.16949774574887289</v>
      </c>
    </row>
    <row r="212" spans="1:23">
      <c r="A212" t="s">
        <v>638</v>
      </c>
      <c r="B212" s="1">
        <v>45104</v>
      </c>
      <c r="C212" s="1">
        <v>45105</v>
      </c>
      <c r="D212" t="s">
        <v>385</v>
      </c>
      <c r="E212" t="s">
        <v>639</v>
      </c>
      <c r="F212" t="s">
        <v>35</v>
      </c>
      <c r="G212" t="s">
        <v>55</v>
      </c>
      <c r="H212" t="s">
        <v>56</v>
      </c>
      <c r="I212" t="s">
        <v>57</v>
      </c>
      <c r="J212" t="s">
        <v>47</v>
      </c>
      <c r="K212" t="s">
        <v>142</v>
      </c>
      <c r="L212" t="s">
        <v>143</v>
      </c>
      <c r="M212" t="s">
        <v>144</v>
      </c>
      <c r="N212">
        <v>8</v>
      </c>
      <c r="O212">
        <v>5912100</v>
      </c>
      <c r="P212">
        <v>0</v>
      </c>
      <c r="Q212">
        <v>47296800</v>
      </c>
      <c r="R212">
        <v>37307935.119999997</v>
      </c>
      <c r="S212">
        <v>9988864.8800000008</v>
      </c>
      <c r="T212" t="s">
        <v>60</v>
      </c>
      <c r="U212" t="str">
        <f t="shared" si="9"/>
        <v>2023-06</v>
      </c>
      <c r="V212">
        <f t="shared" si="10"/>
        <v>1</v>
      </c>
      <c r="W212" s="2">
        <f t="shared" si="11"/>
        <v>0.21119536374553882</v>
      </c>
    </row>
    <row r="213" spans="1:23">
      <c r="A213" t="s">
        <v>640</v>
      </c>
      <c r="B213" s="1">
        <v>45510</v>
      </c>
      <c r="C213" s="1">
        <v>45517</v>
      </c>
      <c r="D213" t="s">
        <v>98</v>
      </c>
      <c r="E213" t="s">
        <v>641</v>
      </c>
      <c r="F213" t="s">
        <v>23</v>
      </c>
      <c r="G213" t="s">
        <v>95</v>
      </c>
      <c r="H213" t="s">
        <v>96</v>
      </c>
      <c r="I213" t="s">
        <v>26</v>
      </c>
      <c r="J213" t="s">
        <v>27</v>
      </c>
      <c r="K213" t="s">
        <v>100</v>
      </c>
      <c r="L213" t="s">
        <v>101</v>
      </c>
      <c r="M213" t="s">
        <v>102</v>
      </c>
      <c r="N213">
        <v>4</v>
      </c>
      <c r="O213">
        <v>56000</v>
      </c>
      <c r="P213">
        <v>0</v>
      </c>
      <c r="Q213">
        <v>224000</v>
      </c>
      <c r="R213">
        <v>131420.97</v>
      </c>
      <c r="S213">
        <v>92579.03</v>
      </c>
      <c r="T213" t="s">
        <v>73</v>
      </c>
      <c r="U213" t="str">
        <f t="shared" si="9"/>
        <v>2024-08</v>
      </c>
      <c r="V213">
        <f t="shared" si="10"/>
        <v>7</v>
      </c>
      <c r="W213" s="2">
        <f t="shared" si="11"/>
        <v>0.41329924107142857</v>
      </c>
    </row>
    <row r="214" spans="1:23">
      <c r="A214" t="s">
        <v>642</v>
      </c>
      <c r="B214" s="1">
        <v>45157</v>
      </c>
      <c r="C214" s="1">
        <v>45159</v>
      </c>
      <c r="D214" t="s">
        <v>643</v>
      </c>
      <c r="E214" t="s">
        <v>486</v>
      </c>
      <c r="F214" t="s">
        <v>35</v>
      </c>
      <c r="G214" t="s">
        <v>44</v>
      </c>
      <c r="H214" t="s">
        <v>45</v>
      </c>
      <c r="I214" t="s">
        <v>46</v>
      </c>
      <c r="J214" t="s">
        <v>36</v>
      </c>
      <c r="K214" t="s">
        <v>37</v>
      </c>
      <c r="L214" t="s">
        <v>38</v>
      </c>
      <c r="M214" t="s">
        <v>39</v>
      </c>
      <c r="N214">
        <v>10</v>
      </c>
      <c r="O214">
        <v>1083400</v>
      </c>
      <c r="P214">
        <v>0</v>
      </c>
      <c r="Q214">
        <v>10834000</v>
      </c>
      <c r="R214">
        <v>7823187.6100000003</v>
      </c>
      <c r="S214">
        <v>3010812.39</v>
      </c>
      <c r="T214" t="s">
        <v>31</v>
      </c>
      <c r="U214" t="str">
        <f t="shared" si="9"/>
        <v>2023-08</v>
      </c>
      <c r="V214">
        <f t="shared" si="10"/>
        <v>2</v>
      </c>
      <c r="W214" s="2">
        <f t="shared" si="11"/>
        <v>0.27790404190511353</v>
      </c>
    </row>
    <row r="215" spans="1:23">
      <c r="A215" t="s">
        <v>644</v>
      </c>
      <c r="B215" s="1">
        <v>45280</v>
      </c>
      <c r="C215" s="1">
        <v>45287</v>
      </c>
      <c r="D215" t="s">
        <v>93</v>
      </c>
      <c r="E215" t="s">
        <v>645</v>
      </c>
      <c r="F215" t="s">
        <v>35</v>
      </c>
      <c r="G215" t="s">
        <v>140</v>
      </c>
      <c r="H215" t="s">
        <v>141</v>
      </c>
      <c r="I215" t="s">
        <v>46</v>
      </c>
      <c r="J215" t="s">
        <v>36</v>
      </c>
      <c r="K215" t="s">
        <v>81</v>
      </c>
      <c r="L215" t="s">
        <v>215</v>
      </c>
      <c r="M215" t="s">
        <v>216</v>
      </c>
      <c r="N215">
        <v>1</v>
      </c>
      <c r="O215">
        <v>1590300</v>
      </c>
      <c r="P215">
        <v>0</v>
      </c>
      <c r="Q215">
        <v>1590300</v>
      </c>
      <c r="R215">
        <v>1104814.94</v>
      </c>
      <c r="S215">
        <v>485485.06</v>
      </c>
      <c r="T215" t="s">
        <v>31</v>
      </c>
      <c r="U215" t="str">
        <f t="shared" si="9"/>
        <v>2023-12</v>
      </c>
      <c r="V215">
        <f t="shared" si="10"/>
        <v>7</v>
      </c>
      <c r="W215" s="2">
        <f t="shared" si="11"/>
        <v>0.30527891592781237</v>
      </c>
    </row>
    <row r="216" spans="1:23">
      <c r="A216" t="s">
        <v>646</v>
      </c>
      <c r="B216" s="1">
        <v>45953</v>
      </c>
      <c r="C216" s="1">
        <v>45960</v>
      </c>
      <c r="D216" t="s">
        <v>647</v>
      </c>
      <c r="E216" t="s">
        <v>648</v>
      </c>
      <c r="F216" t="s">
        <v>23</v>
      </c>
      <c r="G216" t="s">
        <v>169</v>
      </c>
      <c r="H216" t="s">
        <v>157</v>
      </c>
      <c r="I216" t="s">
        <v>57</v>
      </c>
      <c r="J216" t="s">
        <v>36</v>
      </c>
      <c r="K216" t="s">
        <v>37</v>
      </c>
      <c r="L216" t="s">
        <v>58</v>
      </c>
      <c r="M216" t="s">
        <v>59</v>
      </c>
      <c r="N216">
        <v>1</v>
      </c>
      <c r="O216">
        <v>842300</v>
      </c>
      <c r="P216">
        <v>0.05</v>
      </c>
      <c r="Q216">
        <v>800185</v>
      </c>
      <c r="R216">
        <v>534582.69999999995</v>
      </c>
      <c r="S216">
        <v>265602.3</v>
      </c>
      <c r="T216" t="s">
        <v>73</v>
      </c>
      <c r="U216" t="str">
        <f t="shared" si="9"/>
        <v>2025-10</v>
      </c>
      <c r="V216">
        <f t="shared" si="10"/>
        <v>7</v>
      </c>
      <c r="W216" s="2">
        <f t="shared" si="11"/>
        <v>0.33192611708542397</v>
      </c>
    </row>
    <row r="217" spans="1:23">
      <c r="A217" t="s">
        <v>649</v>
      </c>
      <c r="B217" s="1">
        <v>45727</v>
      </c>
      <c r="C217" s="1">
        <v>45732</v>
      </c>
      <c r="D217" t="s">
        <v>309</v>
      </c>
      <c r="E217" t="s">
        <v>645</v>
      </c>
      <c r="F217" t="s">
        <v>35</v>
      </c>
      <c r="G217" t="s">
        <v>95</v>
      </c>
      <c r="H217" t="s">
        <v>96</v>
      </c>
      <c r="I217" t="s">
        <v>26</v>
      </c>
      <c r="J217" t="s">
        <v>27</v>
      </c>
      <c r="K217" t="s">
        <v>100</v>
      </c>
      <c r="L217" t="s">
        <v>105</v>
      </c>
      <c r="M217" t="s">
        <v>106</v>
      </c>
      <c r="N217">
        <v>1</v>
      </c>
      <c r="O217">
        <v>69800</v>
      </c>
      <c r="P217">
        <v>0.05</v>
      </c>
      <c r="Q217">
        <v>66310</v>
      </c>
      <c r="R217">
        <v>40845.86</v>
      </c>
      <c r="S217">
        <v>25464.14</v>
      </c>
      <c r="T217" t="s">
        <v>73</v>
      </c>
      <c r="U217" t="str">
        <f t="shared" si="9"/>
        <v>2025-03</v>
      </c>
      <c r="V217">
        <f t="shared" si="10"/>
        <v>5</v>
      </c>
      <c r="W217" s="2">
        <f t="shared" si="11"/>
        <v>0.38401658874981148</v>
      </c>
    </row>
    <row r="218" spans="1:23">
      <c r="A218" t="s">
        <v>650</v>
      </c>
      <c r="B218" s="1">
        <v>45286</v>
      </c>
      <c r="C218" s="1">
        <v>45287</v>
      </c>
      <c r="D218" t="s">
        <v>651</v>
      </c>
      <c r="E218" t="s">
        <v>652</v>
      </c>
      <c r="F218" t="s">
        <v>23</v>
      </c>
      <c r="G218" t="s">
        <v>140</v>
      </c>
      <c r="H218" t="s">
        <v>141</v>
      </c>
      <c r="I218" t="s">
        <v>46</v>
      </c>
      <c r="J218" t="s">
        <v>47</v>
      </c>
      <c r="K218" t="s">
        <v>173</v>
      </c>
      <c r="L218" t="s">
        <v>203</v>
      </c>
      <c r="M218" t="s">
        <v>204</v>
      </c>
      <c r="N218">
        <v>2</v>
      </c>
      <c r="O218">
        <v>3431200</v>
      </c>
      <c r="P218">
        <v>0.15</v>
      </c>
      <c r="Q218">
        <v>5833040</v>
      </c>
      <c r="R218">
        <v>5067854.54</v>
      </c>
      <c r="S218">
        <v>765185.46</v>
      </c>
      <c r="T218" t="s">
        <v>60</v>
      </c>
      <c r="U218" t="str">
        <f t="shared" si="9"/>
        <v>2023-12</v>
      </c>
      <c r="V218">
        <f t="shared" si="10"/>
        <v>1</v>
      </c>
      <c r="W218" s="2">
        <f t="shared" si="11"/>
        <v>0.13118124682841192</v>
      </c>
    </row>
    <row r="219" spans="1:23">
      <c r="A219" t="s">
        <v>653</v>
      </c>
      <c r="B219" s="1">
        <v>45477</v>
      </c>
      <c r="C219" s="1">
        <v>45483</v>
      </c>
      <c r="D219" t="s">
        <v>456</v>
      </c>
      <c r="E219" t="s">
        <v>654</v>
      </c>
      <c r="F219" t="s">
        <v>35</v>
      </c>
      <c r="G219" t="s">
        <v>156</v>
      </c>
      <c r="H219" t="s">
        <v>157</v>
      </c>
      <c r="I219" t="s">
        <v>57</v>
      </c>
      <c r="J219" t="s">
        <v>27</v>
      </c>
      <c r="K219" t="s">
        <v>100</v>
      </c>
      <c r="L219" t="s">
        <v>101</v>
      </c>
      <c r="M219" t="s">
        <v>102</v>
      </c>
      <c r="N219">
        <v>2</v>
      </c>
      <c r="O219">
        <v>55600</v>
      </c>
      <c r="P219">
        <v>0.3</v>
      </c>
      <c r="Q219">
        <v>77840</v>
      </c>
      <c r="R219">
        <v>63091.39</v>
      </c>
      <c r="S219">
        <v>14748.61</v>
      </c>
      <c r="T219" t="s">
        <v>60</v>
      </c>
      <c r="U219" t="str">
        <f t="shared" si="9"/>
        <v>2024-07</v>
      </c>
      <c r="V219">
        <f t="shared" si="10"/>
        <v>6</v>
      </c>
      <c r="W219" s="2">
        <f t="shared" si="11"/>
        <v>0.18947340698869478</v>
      </c>
    </row>
    <row r="220" spans="1:23">
      <c r="A220" t="s">
        <v>655</v>
      </c>
      <c r="B220" s="1">
        <v>45664</v>
      </c>
      <c r="C220" s="1">
        <v>45665</v>
      </c>
      <c r="D220" t="s">
        <v>266</v>
      </c>
      <c r="E220" t="s">
        <v>656</v>
      </c>
      <c r="F220" t="s">
        <v>23</v>
      </c>
      <c r="G220" t="s">
        <v>80</v>
      </c>
      <c r="H220" t="s">
        <v>45</v>
      </c>
      <c r="I220" t="s">
        <v>46</v>
      </c>
      <c r="J220" t="s">
        <v>36</v>
      </c>
      <c r="K220" t="s">
        <v>37</v>
      </c>
      <c r="L220" t="s">
        <v>38</v>
      </c>
      <c r="M220" t="s">
        <v>39</v>
      </c>
      <c r="N220">
        <v>4</v>
      </c>
      <c r="O220">
        <v>1074800</v>
      </c>
      <c r="P220">
        <v>0.1</v>
      </c>
      <c r="Q220">
        <v>3869280</v>
      </c>
      <c r="R220">
        <v>2821115.65</v>
      </c>
      <c r="S220">
        <v>1048164.35</v>
      </c>
      <c r="T220" t="s">
        <v>60</v>
      </c>
      <c r="U220" t="str">
        <f t="shared" si="9"/>
        <v>2025-01</v>
      </c>
      <c r="V220">
        <f t="shared" si="10"/>
        <v>1</v>
      </c>
      <c r="W220" s="2">
        <f t="shared" si="11"/>
        <v>0.27089390015713516</v>
      </c>
    </row>
    <row r="221" spans="1:23">
      <c r="A221" t="s">
        <v>657</v>
      </c>
      <c r="B221" s="1">
        <v>44952</v>
      </c>
      <c r="C221" s="1">
        <v>44954</v>
      </c>
      <c r="D221" t="s">
        <v>526</v>
      </c>
      <c r="E221" t="s">
        <v>658</v>
      </c>
      <c r="F221" t="s">
        <v>54</v>
      </c>
      <c r="G221" t="s">
        <v>169</v>
      </c>
      <c r="H221" t="s">
        <v>157</v>
      </c>
      <c r="I221" t="s">
        <v>57</v>
      </c>
      <c r="J221" t="s">
        <v>47</v>
      </c>
      <c r="K221" t="s">
        <v>48</v>
      </c>
      <c r="L221" t="s">
        <v>49</v>
      </c>
      <c r="M221" t="s">
        <v>50</v>
      </c>
      <c r="N221">
        <v>6</v>
      </c>
      <c r="O221">
        <v>528000</v>
      </c>
      <c r="P221">
        <v>0.1</v>
      </c>
      <c r="Q221">
        <v>2851200</v>
      </c>
      <c r="R221">
        <v>2099320.13</v>
      </c>
      <c r="S221">
        <v>751879.87</v>
      </c>
      <c r="T221" t="s">
        <v>73</v>
      </c>
      <c r="U221" t="str">
        <f t="shared" si="9"/>
        <v>2023-01</v>
      </c>
      <c r="V221">
        <f t="shared" si="10"/>
        <v>2</v>
      </c>
      <c r="W221" s="2">
        <f t="shared" si="11"/>
        <v>0.26370646394500563</v>
      </c>
    </row>
    <row r="222" spans="1:23">
      <c r="A222" t="s">
        <v>659</v>
      </c>
      <c r="B222" s="1">
        <v>45435</v>
      </c>
      <c r="C222" s="1">
        <v>45439</v>
      </c>
      <c r="D222" t="s">
        <v>545</v>
      </c>
      <c r="E222" t="s">
        <v>521</v>
      </c>
      <c r="F222" t="s">
        <v>35</v>
      </c>
      <c r="G222" t="s">
        <v>95</v>
      </c>
      <c r="H222" t="s">
        <v>96</v>
      </c>
      <c r="I222" t="s">
        <v>26</v>
      </c>
      <c r="J222" t="s">
        <v>27</v>
      </c>
      <c r="K222" t="s">
        <v>179</v>
      </c>
      <c r="L222" t="s">
        <v>180</v>
      </c>
      <c r="M222" t="s">
        <v>181</v>
      </c>
      <c r="N222">
        <v>1</v>
      </c>
      <c r="O222">
        <v>58700</v>
      </c>
      <c r="P222">
        <v>0</v>
      </c>
      <c r="Q222">
        <v>58700</v>
      </c>
      <c r="R222">
        <v>30458.11</v>
      </c>
      <c r="S222">
        <v>28241.89</v>
      </c>
      <c r="T222" t="s">
        <v>60</v>
      </c>
      <c r="U222" t="str">
        <f t="shared" si="9"/>
        <v>2024-05</v>
      </c>
      <c r="V222">
        <f t="shared" si="10"/>
        <v>4</v>
      </c>
      <c r="W222" s="2">
        <f t="shared" si="11"/>
        <v>0.48112248722316864</v>
      </c>
    </row>
    <row r="223" spans="1:23">
      <c r="A223" t="s">
        <v>660</v>
      </c>
      <c r="B223" s="1">
        <v>45879</v>
      </c>
      <c r="C223" s="1">
        <v>45886</v>
      </c>
      <c r="D223" t="s">
        <v>374</v>
      </c>
      <c r="E223" t="s">
        <v>315</v>
      </c>
      <c r="F223" t="s">
        <v>23</v>
      </c>
      <c r="G223" t="s">
        <v>156</v>
      </c>
      <c r="H223" t="s">
        <v>157</v>
      </c>
      <c r="I223" t="s">
        <v>57</v>
      </c>
      <c r="J223" t="s">
        <v>47</v>
      </c>
      <c r="K223" t="s">
        <v>48</v>
      </c>
      <c r="L223" t="s">
        <v>66</v>
      </c>
      <c r="M223" t="s">
        <v>67</v>
      </c>
      <c r="N223">
        <v>1</v>
      </c>
      <c r="O223">
        <v>118000</v>
      </c>
      <c r="P223">
        <v>0.1</v>
      </c>
      <c r="Q223">
        <v>106200</v>
      </c>
      <c r="R223">
        <v>67721.94</v>
      </c>
      <c r="S223">
        <v>38478.06</v>
      </c>
      <c r="T223" t="s">
        <v>40</v>
      </c>
      <c r="U223" t="str">
        <f t="shared" si="9"/>
        <v>2025-08</v>
      </c>
      <c r="V223">
        <f t="shared" si="10"/>
        <v>7</v>
      </c>
      <c r="W223" s="2">
        <f t="shared" si="11"/>
        <v>0.36231694915254237</v>
      </c>
    </row>
    <row r="224" spans="1:23">
      <c r="A224" t="s">
        <v>661</v>
      </c>
      <c r="B224" s="1">
        <v>45937</v>
      </c>
      <c r="C224" s="1">
        <v>45944</v>
      </c>
      <c r="D224" t="s">
        <v>662</v>
      </c>
      <c r="E224" t="s">
        <v>663</v>
      </c>
      <c r="F224" t="s">
        <v>23</v>
      </c>
      <c r="G224" t="s">
        <v>80</v>
      </c>
      <c r="H224" t="s">
        <v>45</v>
      </c>
      <c r="I224" t="s">
        <v>46</v>
      </c>
      <c r="J224" t="s">
        <v>27</v>
      </c>
      <c r="K224" t="s">
        <v>28</v>
      </c>
      <c r="L224" t="s">
        <v>29</v>
      </c>
      <c r="M224" t="s">
        <v>30</v>
      </c>
      <c r="N224">
        <v>1</v>
      </c>
      <c r="O224">
        <v>69300</v>
      </c>
      <c r="P224">
        <v>0.1</v>
      </c>
      <c r="Q224">
        <v>62370</v>
      </c>
      <c r="R224">
        <v>38924.49</v>
      </c>
      <c r="S224">
        <v>23445.51</v>
      </c>
      <c r="T224" t="s">
        <v>40</v>
      </c>
      <c r="U224" t="str">
        <f t="shared" si="9"/>
        <v>2025-10</v>
      </c>
      <c r="V224">
        <f t="shared" si="10"/>
        <v>7</v>
      </c>
      <c r="W224" s="2">
        <f t="shared" si="11"/>
        <v>0.37591005291005286</v>
      </c>
    </row>
    <row r="225" spans="1:23">
      <c r="A225" t="s">
        <v>664</v>
      </c>
      <c r="B225" s="1">
        <v>45697</v>
      </c>
      <c r="C225" s="1">
        <v>45704</v>
      </c>
      <c r="D225" t="s">
        <v>665</v>
      </c>
      <c r="E225" t="s">
        <v>666</v>
      </c>
      <c r="F225" t="s">
        <v>23</v>
      </c>
      <c r="G225" t="s">
        <v>44</v>
      </c>
      <c r="H225" t="s">
        <v>45</v>
      </c>
      <c r="I225" t="s">
        <v>46</v>
      </c>
      <c r="J225" t="s">
        <v>27</v>
      </c>
      <c r="K225" t="s">
        <v>179</v>
      </c>
      <c r="L225" t="s">
        <v>244</v>
      </c>
      <c r="M225" t="s">
        <v>245</v>
      </c>
      <c r="N225">
        <v>2</v>
      </c>
      <c r="O225">
        <v>42200</v>
      </c>
      <c r="P225">
        <v>0.3</v>
      </c>
      <c r="Q225">
        <v>59080</v>
      </c>
      <c r="R225">
        <v>40871.06</v>
      </c>
      <c r="S225">
        <v>18208.939999999999</v>
      </c>
      <c r="T225" t="s">
        <v>73</v>
      </c>
      <c r="U225" t="str">
        <f t="shared" si="9"/>
        <v>2025-02</v>
      </c>
      <c r="V225">
        <f t="shared" si="10"/>
        <v>7</v>
      </c>
      <c r="W225" s="2">
        <f t="shared" si="11"/>
        <v>0.30820819228165197</v>
      </c>
    </row>
    <row r="226" spans="1:23">
      <c r="A226" t="s">
        <v>667</v>
      </c>
      <c r="B226" s="1">
        <v>45401</v>
      </c>
      <c r="C226" s="1">
        <v>45408</v>
      </c>
      <c r="D226" t="s">
        <v>126</v>
      </c>
      <c r="E226" t="s">
        <v>668</v>
      </c>
      <c r="F226" t="s">
        <v>23</v>
      </c>
      <c r="G226" t="s">
        <v>156</v>
      </c>
      <c r="H226" t="s">
        <v>157</v>
      </c>
      <c r="I226" t="s">
        <v>57</v>
      </c>
      <c r="J226" t="s">
        <v>36</v>
      </c>
      <c r="K226" t="s">
        <v>37</v>
      </c>
      <c r="L226" t="s">
        <v>58</v>
      </c>
      <c r="M226" t="s">
        <v>59</v>
      </c>
      <c r="N226">
        <v>3</v>
      </c>
      <c r="O226">
        <v>879700</v>
      </c>
      <c r="P226">
        <v>0.1</v>
      </c>
      <c r="Q226">
        <v>2375190</v>
      </c>
      <c r="R226">
        <v>1717586.15</v>
      </c>
      <c r="S226">
        <v>657603.85</v>
      </c>
      <c r="T226" t="s">
        <v>31</v>
      </c>
      <c r="U226" t="str">
        <f t="shared" si="9"/>
        <v>2024-04</v>
      </c>
      <c r="V226">
        <f t="shared" si="10"/>
        <v>7</v>
      </c>
      <c r="W226" s="2">
        <f t="shared" si="11"/>
        <v>0.27686368248434862</v>
      </c>
    </row>
    <row r="227" spans="1:23">
      <c r="A227" t="s">
        <v>669</v>
      </c>
      <c r="B227" s="1">
        <v>45194</v>
      </c>
      <c r="C227" s="1">
        <v>45196</v>
      </c>
      <c r="D227" t="s">
        <v>357</v>
      </c>
      <c r="E227" t="s">
        <v>470</v>
      </c>
      <c r="F227" t="s">
        <v>35</v>
      </c>
      <c r="G227" t="s">
        <v>169</v>
      </c>
      <c r="H227" t="s">
        <v>157</v>
      </c>
      <c r="I227" t="s">
        <v>57</v>
      </c>
      <c r="J227" t="s">
        <v>47</v>
      </c>
      <c r="K227" t="s">
        <v>48</v>
      </c>
      <c r="L227" t="s">
        <v>49</v>
      </c>
      <c r="M227" t="s">
        <v>50</v>
      </c>
      <c r="N227">
        <v>2</v>
      </c>
      <c r="O227">
        <v>465500</v>
      </c>
      <c r="P227">
        <v>0</v>
      </c>
      <c r="Q227">
        <v>931000</v>
      </c>
      <c r="R227">
        <v>563570.27</v>
      </c>
      <c r="S227">
        <v>367429.73</v>
      </c>
      <c r="T227" t="s">
        <v>60</v>
      </c>
      <c r="U227" t="str">
        <f t="shared" si="9"/>
        <v>2023-09</v>
      </c>
      <c r="V227">
        <f t="shared" si="10"/>
        <v>2</v>
      </c>
      <c r="W227" s="2">
        <f t="shared" si="11"/>
        <v>0.39466136412459718</v>
      </c>
    </row>
    <row r="228" spans="1:23">
      <c r="A228" t="s">
        <v>670</v>
      </c>
      <c r="B228" s="1">
        <v>45263</v>
      </c>
      <c r="C228" s="1">
        <v>45267</v>
      </c>
      <c r="D228" t="s">
        <v>671</v>
      </c>
      <c r="E228" t="s">
        <v>554</v>
      </c>
      <c r="F228" t="s">
        <v>35</v>
      </c>
      <c r="G228" t="s">
        <v>44</v>
      </c>
      <c r="H228" t="s">
        <v>45</v>
      </c>
      <c r="I228" t="s">
        <v>46</v>
      </c>
      <c r="J228" t="s">
        <v>36</v>
      </c>
      <c r="K228" t="s">
        <v>89</v>
      </c>
      <c r="L228" t="s">
        <v>90</v>
      </c>
      <c r="M228" t="s">
        <v>91</v>
      </c>
      <c r="N228">
        <v>2</v>
      </c>
      <c r="O228">
        <v>3156100</v>
      </c>
      <c r="P228">
        <v>0.2</v>
      </c>
      <c r="Q228">
        <v>5049760</v>
      </c>
      <c r="R228">
        <v>4249551.68</v>
      </c>
      <c r="S228">
        <v>800208.32</v>
      </c>
      <c r="T228" t="s">
        <v>73</v>
      </c>
      <c r="U228" t="str">
        <f t="shared" si="9"/>
        <v>2023-12</v>
      </c>
      <c r="V228">
        <f t="shared" si="10"/>
        <v>4</v>
      </c>
      <c r="W228" s="2">
        <f t="shared" si="11"/>
        <v>0.15846462406134151</v>
      </c>
    </row>
    <row r="229" spans="1:23">
      <c r="A229" t="s">
        <v>672</v>
      </c>
      <c r="B229" s="1">
        <v>45009</v>
      </c>
      <c r="C229" s="1">
        <v>45011</v>
      </c>
      <c r="D229" t="s">
        <v>341</v>
      </c>
      <c r="E229" t="s">
        <v>673</v>
      </c>
      <c r="F229" t="s">
        <v>23</v>
      </c>
      <c r="G229" t="s">
        <v>80</v>
      </c>
      <c r="H229" t="s">
        <v>45</v>
      </c>
      <c r="I229" t="s">
        <v>46</v>
      </c>
      <c r="J229" t="s">
        <v>27</v>
      </c>
      <c r="K229" t="s">
        <v>179</v>
      </c>
      <c r="L229" t="s">
        <v>180</v>
      </c>
      <c r="M229" t="s">
        <v>181</v>
      </c>
      <c r="N229">
        <v>8</v>
      </c>
      <c r="O229">
        <v>55300</v>
      </c>
      <c r="P229">
        <v>0</v>
      </c>
      <c r="Q229">
        <v>442400</v>
      </c>
      <c r="R229">
        <v>231857.47</v>
      </c>
      <c r="S229">
        <v>210542.53</v>
      </c>
      <c r="T229" t="s">
        <v>73</v>
      </c>
      <c r="U229" t="str">
        <f t="shared" si="9"/>
        <v>2023-03</v>
      </c>
      <c r="V229">
        <f t="shared" si="10"/>
        <v>2</v>
      </c>
      <c r="W229" s="2">
        <f t="shared" si="11"/>
        <v>0.47590987793851719</v>
      </c>
    </row>
    <row r="230" spans="1:23">
      <c r="A230" t="s">
        <v>674</v>
      </c>
      <c r="B230" s="1">
        <v>45853</v>
      </c>
      <c r="C230" s="1">
        <v>45858</v>
      </c>
      <c r="D230" t="s">
        <v>269</v>
      </c>
      <c r="E230" t="s">
        <v>504</v>
      </c>
      <c r="F230" t="s">
        <v>23</v>
      </c>
      <c r="G230" t="s">
        <v>44</v>
      </c>
      <c r="H230" t="s">
        <v>45</v>
      </c>
      <c r="I230" t="s">
        <v>46</v>
      </c>
      <c r="J230" t="s">
        <v>27</v>
      </c>
      <c r="K230" t="s">
        <v>28</v>
      </c>
      <c r="L230" t="s">
        <v>29</v>
      </c>
      <c r="M230" t="s">
        <v>30</v>
      </c>
      <c r="N230">
        <v>1</v>
      </c>
      <c r="O230">
        <v>62100</v>
      </c>
      <c r="P230">
        <v>0.15</v>
      </c>
      <c r="Q230">
        <v>52785</v>
      </c>
      <c r="R230">
        <v>32826.35</v>
      </c>
      <c r="S230">
        <v>19958.650000000001</v>
      </c>
      <c r="T230" t="s">
        <v>73</v>
      </c>
      <c r="U230" t="str">
        <f t="shared" si="9"/>
        <v>2025-07</v>
      </c>
      <c r="V230">
        <f t="shared" si="10"/>
        <v>5</v>
      </c>
      <c r="W230" s="2">
        <f t="shared" si="11"/>
        <v>0.37811215307378993</v>
      </c>
    </row>
    <row r="231" spans="1:23">
      <c r="A231" t="s">
        <v>675</v>
      </c>
      <c r="B231" s="1">
        <v>45689</v>
      </c>
      <c r="C231" s="1">
        <v>45695</v>
      </c>
      <c r="D231" t="s">
        <v>186</v>
      </c>
      <c r="E231" t="s">
        <v>155</v>
      </c>
      <c r="F231" t="s">
        <v>35</v>
      </c>
      <c r="G231" t="s">
        <v>55</v>
      </c>
      <c r="H231" t="s">
        <v>56</v>
      </c>
      <c r="I231" t="s">
        <v>57</v>
      </c>
      <c r="J231" t="s">
        <v>27</v>
      </c>
      <c r="K231" t="s">
        <v>100</v>
      </c>
      <c r="L231" t="s">
        <v>105</v>
      </c>
      <c r="M231" t="s">
        <v>106</v>
      </c>
      <c r="N231">
        <v>1</v>
      </c>
      <c r="O231">
        <v>69500</v>
      </c>
      <c r="P231">
        <v>0.2</v>
      </c>
      <c r="Q231">
        <v>55600</v>
      </c>
      <c r="R231">
        <v>40618.21</v>
      </c>
      <c r="S231">
        <v>14981.79</v>
      </c>
      <c r="T231" t="s">
        <v>31</v>
      </c>
      <c r="U231" t="str">
        <f t="shared" si="9"/>
        <v>2025-02</v>
      </c>
      <c r="V231">
        <f t="shared" si="10"/>
        <v>6</v>
      </c>
      <c r="W231" s="2">
        <f t="shared" si="11"/>
        <v>0.26945665467625901</v>
      </c>
    </row>
    <row r="232" spans="1:23">
      <c r="A232" t="s">
        <v>676</v>
      </c>
      <c r="B232" s="1">
        <v>45606</v>
      </c>
      <c r="C232" s="1">
        <v>45607</v>
      </c>
      <c r="D232" t="s">
        <v>677</v>
      </c>
      <c r="E232" t="s">
        <v>678</v>
      </c>
      <c r="F232" t="s">
        <v>23</v>
      </c>
      <c r="G232" t="s">
        <v>140</v>
      </c>
      <c r="H232" t="s">
        <v>141</v>
      </c>
      <c r="I232" t="s">
        <v>46</v>
      </c>
      <c r="J232" t="s">
        <v>47</v>
      </c>
      <c r="K232" t="s">
        <v>128</v>
      </c>
      <c r="L232" t="s">
        <v>129</v>
      </c>
      <c r="M232" t="s">
        <v>130</v>
      </c>
      <c r="N232">
        <v>5</v>
      </c>
      <c r="O232">
        <v>1431000</v>
      </c>
      <c r="P232">
        <v>0</v>
      </c>
      <c r="Q232">
        <v>7155000</v>
      </c>
      <c r="R232">
        <v>5351573.16</v>
      </c>
      <c r="S232">
        <v>1803426.84</v>
      </c>
      <c r="T232" t="s">
        <v>40</v>
      </c>
      <c r="U232" t="str">
        <f t="shared" si="9"/>
        <v>2024-11</v>
      </c>
      <c r="V232">
        <f t="shared" si="10"/>
        <v>1</v>
      </c>
      <c r="W232" s="2">
        <f t="shared" si="11"/>
        <v>0.25205127044025161</v>
      </c>
    </row>
    <row r="233" spans="1:23">
      <c r="A233" t="s">
        <v>679</v>
      </c>
      <c r="B233" s="1">
        <v>45310</v>
      </c>
      <c r="C233" s="1">
        <v>45313</v>
      </c>
      <c r="D233" t="s">
        <v>614</v>
      </c>
      <c r="E233" t="s">
        <v>680</v>
      </c>
      <c r="F233" t="s">
        <v>35</v>
      </c>
      <c r="G233" t="s">
        <v>140</v>
      </c>
      <c r="H233" t="s">
        <v>141</v>
      </c>
      <c r="I233" t="s">
        <v>46</v>
      </c>
      <c r="J233" t="s">
        <v>47</v>
      </c>
      <c r="K233" t="s">
        <v>173</v>
      </c>
      <c r="L233" t="s">
        <v>203</v>
      </c>
      <c r="M233" t="s">
        <v>204</v>
      </c>
      <c r="N233">
        <v>3</v>
      </c>
      <c r="O233">
        <v>3231200</v>
      </c>
      <c r="P233">
        <v>0.2</v>
      </c>
      <c r="Q233">
        <v>7754880</v>
      </c>
      <c r="R233">
        <v>7457560.3799999999</v>
      </c>
      <c r="S233">
        <v>297319.62</v>
      </c>
      <c r="T233" t="s">
        <v>73</v>
      </c>
      <c r="U233" t="str">
        <f t="shared" si="9"/>
        <v>2024-01</v>
      </c>
      <c r="V233">
        <f t="shared" si="10"/>
        <v>3</v>
      </c>
      <c r="W233" s="2">
        <f t="shared" si="11"/>
        <v>3.8339680304530825E-2</v>
      </c>
    </row>
    <row r="234" spans="1:23">
      <c r="A234" t="s">
        <v>681</v>
      </c>
      <c r="B234" s="1">
        <v>45208</v>
      </c>
      <c r="C234" s="1">
        <v>45212</v>
      </c>
      <c r="D234" t="s">
        <v>553</v>
      </c>
      <c r="E234" t="s">
        <v>682</v>
      </c>
      <c r="F234" t="s">
        <v>35</v>
      </c>
      <c r="G234" t="s">
        <v>87</v>
      </c>
      <c r="H234" t="s">
        <v>88</v>
      </c>
      <c r="I234" t="s">
        <v>46</v>
      </c>
      <c r="J234" t="s">
        <v>47</v>
      </c>
      <c r="K234" t="s">
        <v>173</v>
      </c>
      <c r="L234" t="s">
        <v>174</v>
      </c>
      <c r="M234" t="s">
        <v>175</v>
      </c>
      <c r="N234">
        <v>4</v>
      </c>
      <c r="O234">
        <v>4601300</v>
      </c>
      <c r="P234">
        <v>0.1</v>
      </c>
      <c r="Q234">
        <v>16564680</v>
      </c>
      <c r="R234">
        <v>13983465.73</v>
      </c>
      <c r="S234">
        <v>2581214.27</v>
      </c>
      <c r="T234" t="s">
        <v>40</v>
      </c>
      <c r="U234" t="str">
        <f t="shared" si="9"/>
        <v>2023-10</v>
      </c>
      <c r="V234">
        <f t="shared" si="10"/>
        <v>4</v>
      </c>
      <c r="W234" s="2">
        <f t="shared" si="11"/>
        <v>0.15582638903981241</v>
      </c>
    </row>
    <row r="235" spans="1:23">
      <c r="A235" t="s">
        <v>683</v>
      </c>
      <c r="B235" s="1">
        <v>45480</v>
      </c>
      <c r="C235" s="1">
        <v>45482</v>
      </c>
      <c r="D235" t="s">
        <v>331</v>
      </c>
      <c r="E235" t="s">
        <v>684</v>
      </c>
      <c r="F235" t="s">
        <v>54</v>
      </c>
      <c r="G235" t="s">
        <v>140</v>
      </c>
      <c r="H235" t="s">
        <v>141</v>
      </c>
      <c r="I235" t="s">
        <v>46</v>
      </c>
      <c r="J235" t="s">
        <v>47</v>
      </c>
      <c r="K235" t="s">
        <v>173</v>
      </c>
      <c r="L235" t="s">
        <v>174</v>
      </c>
      <c r="M235" t="s">
        <v>175</v>
      </c>
      <c r="N235">
        <v>1</v>
      </c>
      <c r="O235">
        <v>5255200</v>
      </c>
      <c r="P235">
        <v>0.1</v>
      </c>
      <c r="Q235">
        <v>4729680</v>
      </c>
      <c r="R235">
        <v>4137246.12</v>
      </c>
      <c r="S235">
        <v>592433.88</v>
      </c>
      <c r="T235" t="s">
        <v>60</v>
      </c>
      <c r="U235" t="str">
        <f t="shared" si="9"/>
        <v>2024-07</v>
      </c>
      <c r="V235">
        <f t="shared" si="10"/>
        <v>2</v>
      </c>
      <c r="W235" s="2">
        <f t="shared" si="11"/>
        <v>0.12525876592073881</v>
      </c>
    </row>
    <row r="236" spans="1:23">
      <c r="A236" t="s">
        <v>685</v>
      </c>
      <c r="B236" s="1">
        <v>45434</v>
      </c>
      <c r="C236" s="1">
        <v>45440</v>
      </c>
      <c r="D236" t="s">
        <v>686</v>
      </c>
      <c r="E236" t="s">
        <v>687</v>
      </c>
      <c r="F236" t="s">
        <v>35</v>
      </c>
      <c r="G236" t="s">
        <v>24</v>
      </c>
      <c r="H236" t="s">
        <v>25</v>
      </c>
      <c r="I236" t="s">
        <v>26</v>
      </c>
      <c r="J236" t="s">
        <v>47</v>
      </c>
      <c r="K236" t="s">
        <v>142</v>
      </c>
      <c r="L236" t="s">
        <v>158</v>
      </c>
      <c r="M236" t="s">
        <v>159</v>
      </c>
      <c r="N236">
        <v>2</v>
      </c>
      <c r="O236">
        <v>8894000</v>
      </c>
      <c r="P236">
        <v>0.2</v>
      </c>
      <c r="Q236">
        <v>14230400</v>
      </c>
      <c r="R236">
        <v>13498540.800000001</v>
      </c>
      <c r="S236">
        <v>731859.2</v>
      </c>
      <c r="T236" t="s">
        <v>40</v>
      </c>
      <c r="U236" t="str">
        <f t="shared" si="9"/>
        <v>2024-05</v>
      </c>
      <c r="V236">
        <f t="shared" si="10"/>
        <v>6</v>
      </c>
      <c r="W236" s="2">
        <f t="shared" si="11"/>
        <v>5.142927816505509E-2</v>
      </c>
    </row>
    <row r="237" spans="1:23">
      <c r="A237" t="s">
        <v>688</v>
      </c>
      <c r="B237" s="1">
        <v>45661</v>
      </c>
      <c r="C237" s="1">
        <v>45666</v>
      </c>
      <c r="D237" t="s">
        <v>341</v>
      </c>
      <c r="E237" t="s">
        <v>214</v>
      </c>
      <c r="F237" t="s">
        <v>35</v>
      </c>
      <c r="G237" t="s">
        <v>55</v>
      </c>
      <c r="H237" t="s">
        <v>56</v>
      </c>
      <c r="I237" t="s">
        <v>57</v>
      </c>
      <c r="J237" t="s">
        <v>47</v>
      </c>
      <c r="K237" t="s">
        <v>48</v>
      </c>
      <c r="L237" t="s">
        <v>49</v>
      </c>
      <c r="M237" t="s">
        <v>50</v>
      </c>
      <c r="N237">
        <v>5</v>
      </c>
      <c r="O237">
        <v>523000</v>
      </c>
      <c r="P237">
        <v>0.3</v>
      </c>
      <c r="Q237">
        <v>1830500</v>
      </c>
      <c r="R237">
        <v>1654498.06</v>
      </c>
      <c r="S237">
        <v>176001.94</v>
      </c>
      <c r="T237" t="s">
        <v>73</v>
      </c>
      <c r="U237" t="str">
        <f t="shared" si="9"/>
        <v>2025-01</v>
      </c>
      <c r="V237">
        <f t="shared" si="10"/>
        <v>5</v>
      </c>
      <c r="W237" s="2">
        <f t="shared" si="11"/>
        <v>9.6149653100245841E-2</v>
      </c>
    </row>
    <row r="238" spans="1:23">
      <c r="A238" t="s">
        <v>689</v>
      </c>
      <c r="B238" s="1">
        <v>45111</v>
      </c>
      <c r="C238" s="1">
        <v>45112</v>
      </c>
      <c r="D238" t="s">
        <v>690</v>
      </c>
      <c r="E238" t="s">
        <v>691</v>
      </c>
      <c r="F238" t="s">
        <v>35</v>
      </c>
      <c r="G238" t="s">
        <v>140</v>
      </c>
      <c r="H238" t="s">
        <v>141</v>
      </c>
      <c r="I238" t="s">
        <v>46</v>
      </c>
      <c r="J238" t="s">
        <v>47</v>
      </c>
      <c r="K238" t="s">
        <v>173</v>
      </c>
      <c r="L238" t="s">
        <v>174</v>
      </c>
      <c r="M238" t="s">
        <v>175</v>
      </c>
      <c r="N238">
        <v>2</v>
      </c>
      <c r="O238">
        <v>4865000</v>
      </c>
      <c r="P238">
        <v>0.15</v>
      </c>
      <c r="Q238">
        <v>8270500</v>
      </c>
      <c r="R238">
        <v>7255894.5899999999</v>
      </c>
      <c r="S238">
        <v>1014605.41</v>
      </c>
      <c r="T238" t="s">
        <v>31</v>
      </c>
      <c r="U238" t="str">
        <f t="shared" si="9"/>
        <v>2023-07</v>
      </c>
      <c r="V238">
        <f t="shared" si="10"/>
        <v>1</v>
      </c>
      <c r="W238" s="2">
        <f t="shared" si="11"/>
        <v>0.12267763859500636</v>
      </c>
    </row>
    <row r="239" spans="1:23">
      <c r="A239" t="s">
        <v>692</v>
      </c>
      <c r="B239" s="1">
        <v>45589</v>
      </c>
      <c r="C239" s="1">
        <v>45590</v>
      </c>
      <c r="D239" t="s">
        <v>302</v>
      </c>
      <c r="E239" t="s">
        <v>507</v>
      </c>
      <c r="F239" t="s">
        <v>54</v>
      </c>
      <c r="G239" t="s">
        <v>44</v>
      </c>
      <c r="H239" t="s">
        <v>45</v>
      </c>
      <c r="I239" t="s">
        <v>46</v>
      </c>
      <c r="J239" t="s">
        <v>47</v>
      </c>
      <c r="K239" t="s">
        <v>173</v>
      </c>
      <c r="L239" t="s">
        <v>203</v>
      </c>
      <c r="M239" t="s">
        <v>204</v>
      </c>
      <c r="N239">
        <v>8</v>
      </c>
      <c r="O239">
        <v>3143000</v>
      </c>
      <c r="P239">
        <v>0.25</v>
      </c>
      <c r="Q239">
        <v>18858000</v>
      </c>
      <c r="R239">
        <v>19136717.260000002</v>
      </c>
      <c r="S239">
        <v>-278717.26</v>
      </c>
      <c r="T239" t="s">
        <v>60</v>
      </c>
      <c r="U239" t="str">
        <f t="shared" si="9"/>
        <v>2024-10</v>
      </c>
      <c r="V239">
        <f t="shared" si="10"/>
        <v>1</v>
      </c>
      <c r="W239" s="2">
        <f t="shared" si="11"/>
        <v>-1.4779788948987167E-2</v>
      </c>
    </row>
    <row r="240" spans="1:23">
      <c r="A240" t="s">
        <v>693</v>
      </c>
      <c r="B240" s="1">
        <v>45587</v>
      </c>
      <c r="C240" s="1">
        <v>45589</v>
      </c>
      <c r="D240" t="s">
        <v>421</v>
      </c>
      <c r="E240" t="s">
        <v>224</v>
      </c>
      <c r="F240" t="s">
        <v>35</v>
      </c>
      <c r="G240" t="s">
        <v>64</v>
      </c>
      <c r="H240" t="s">
        <v>65</v>
      </c>
      <c r="I240" t="s">
        <v>57</v>
      </c>
      <c r="J240" t="s">
        <v>27</v>
      </c>
      <c r="K240" t="s">
        <v>116</v>
      </c>
      <c r="L240" t="s">
        <v>117</v>
      </c>
      <c r="M240" t="s">
        <v>118</v>
      </c>
      <c r="N240">
        <v>3</v>
      </c>
      <c r="O240">
        <v>27600</v>
      </c>
      <c r="P240">
        <v>0.2</v>
      </c>
      <c r="Q240">
        <v>66240</v>
      </c>
      <c r="R240">
        <v>41780.32</v>
      </c>
      <c r="S240">
        <v>24459.68</v>
      </c>
      <c r="T240" t="s">
        <v>73</v>
      </c>
      <c r="U240" t="str">
        <f t="shared" si="9"/>
        <v>2024-10</v>
      </c>
      <c r="V240">
        <f t="shared" si="10"/>
        <v>2</v>
      </c>
      <c r="W240" s="2">
        <f t="shared" si="11"/>
        <v>0.36925845410628022</v>
      </c>
    </row>
    <row r="241" spans="1:23">
      <c r="A241" t="s">
        <v>694</v>
      </c>
      <c r="B241" s="1">
        <v>45286</v>
      </c>
      <c r="C241" s="1">
        <v>45290</v>
      </c>
      <c r="D241" t="s">
        <v>69</v>
      </c>
      <c r="E241" t="s">
        <v>695</v>
      </c>
      <c r="F241" t="s">
        <v>23</v>
      </c>
      <c r="G241" t="s">
        <v>80</v>
      </c>
      <c r="H241" t="s">
        <v>45</v>
      </c>
      <c r="I241" t="s">
        <v>46</v>
      </c>
      <c r="J241" t="s">
        <v>47</v>
      </c>
      <c r="K241" t="s">
        <v>48</v>
      </c>
      <c r="L241" t="s">
        <v>66</v>
      </c>
      <c r="M241" t="s">
        <v>67</v>
      </c>
      <c r="N241">
        <v>8</v>
      </c>
      <c r="O241">
        <v>138600</v>
      </c>
      <c r="P241">
        <v>0.05</v>
      </c>
      <c r="Q241">
        <v>1053360</v>
      </c>
      <c r="R241">
        <v>694074.37</v>
      </c>
      <c r="S241">
        <v>359285.63</v>
      </c>
      <c r="T241" t="s">
        <v>31</v>
      </c>
      <c r="U241" t="str">
        <f t="shared" si="9"/>
        <v>2023-12</v>
      </c>
      <c r="V241">
        <f t="shared" si="10"/>
        <v>4</v>
      </c>
      <c r="W241" s="2">
        <f t="shared" si="11"/>
        <v>0.34108531746031745</v>
      </c>
    </row>
    <row r="242" spans="1:23">
      <c r="A242" t="s">
        <v>696</v>
      </c>
      <c r="B242" s="1">
        <v>45578</v>
      </c>
      <c r="C242" s="1">
        <v>45585</v>
      </c>
      <c r="D242" t="s">
        <v>577</v>
      </c>
      <c r="E242" t="s">
        <v>237</v>
      </c>
      <c r="F242" t="s">
        <v>23</v>
      </c>
      <c r="G242" t="s">
        <v>55</v>
      </c>
      <c r="H242" t="s">
        <v>56</v>
      </c>
      <c r="I242" t="s">
        <v>57</v>
      </c>
      <c r="J242" t="s">
        <v>27</v>
      </c>
      <c r="K242" t="s">
        <v>28</v>
      </c>
      <c r="L242" t="s">
        <v>29</v>
      </c>
      <c r="M242" t="s">
        <v>30</v>
      </c>
      <c r="N242">
        <v>1</v>
      </c>
      <c r="O242">
        <v>72400</v>
      </c>
      <c r="P242">
        <v>0</v>
      </c>
      <c r="Q242">
        <v>72400</v>
      </c>
      <c r="R242">
        <v>42134.12</v>
      </c>
      <c r="S242">
        <v>30265.88</v>
      </c>
      <c r="T242" t="s">
        <v>40</v>
      </c>
      <c r="U242" t="str">
        <f t="shared" si="9"/>
        <v>2024-10</v>
      </c>
      <c r="V242">
        <f t="shared" si="10"/>
        <v>7</v>
      </c>
      <c r="W242" s="2">
        <f t="shared" si="11"/>
        <v>0.41803701657458564</v>
      </c>
    </row>
    <row r="243" spans="1:23">
      <c r="A243" t="s">
        <v>697</v>
      </c>
      <c r="B243" s="1">
        <v>45108</v>
      </c>
      <c r="C243" s="1">
        <v>45115</v>
      </c>
      <c r="D243" t="s">
        <v>698</v>
      </c>
      <c r="E243" t="s">
        <v>115</v>
      </c>
      <c r="F243" t="s">
        <v>23</v>
      </c>
      <c r="G243" t="s">
        <v>64</v>
      </c>
      <c r="H243" t="s">
        <v>65</v>
      </c>
      <c r="I243" t="s">
        <v>57</v>
      </c>
      <c r="J243" t="s">
        <v>27</v>
      </c>
      <c r="K243" t="s">
        <v>179</v>
      </c>
      <c r="L243" t="s">
        <v>180</v>
      </c>
      <c r="M243" t="s">
        <v>181</v>
      </c>
      <c r="N243">
        <v>1</v>
      </c>
      <c r="O243">
        <v>51200</v>
      </c>
      <c r="P243">
        <v>0</v>
      </c>
      <c r="Q243">
        <v>51200</v>
      </c>
      <c r="R243">
        <v>26160.31</v>
      </c>
      <c r="S243">
        <v>25039.69</v>
      </c>
      <c r="T243" t="s">
        <v>73</v>
      </c>
      <c r="U243" t="str">
        <f t="shared" si="9"/>
        <v>2023-07</v>
      </c>
      <c r="V243">
        <f t="shared" si="10"/>
        <v>7</v>
      </c>
      <c r="W243" s="2">
        <f t="shared" si="11"/>
        <v>0.48905644531249998</v>
      </c>
    </row>
    <row r="244" spans="1:23">
      <c r="A244" t="s">
        <v>699</v>
      </c>
      <c r="B244" s="1">
        <v>45824</v>
      </c>
      <c r="C244" s="1">
        <v>45830</v>
      </c>
      <c r="D244" t="s">
        <v>491</v>
      </c>
      <c r="E244" t="s">
        <v>243</v>
      </c>
      <c r="F244" t="s">
        <v>23</v>
      </c>
      <c r="G244" t="s">
        <v>169</v>
      </c>
      <c r="H244" t="s">
        <v>157</v>
      </c>
      <c r="I244" t="s">
        <v>57</v>
      </c>
      <c r="J244" t="s">
        <v>36</v>
      </c>
      <c r="K244" t="s">
        <v>81</v>
      </c>
      <c r="L244" t="s">
        <v>82</v>
      </c>
      <c r="M244" t="s">
        <v>83</v>
      </c>
      <c r="N244">
        <v>2</v>
      </c>
      <c r="O244">
        <v>638700</v>
      </c>
      <c r="P244">
        <v>0.2</v>
      </c>
      <c r="Q244">
        <v>1021920</v>
      </c>
      <c r="R244">
        <v>860485.17</v>
      </c>
      <c r="S244">
        <v>161434.82999999999</v>
      </c>
      <c r="T244" t="s">
        <v>40</v>
      </c>
      <c r="U244" t="str">
        <f t="shared" si="9"/>
        <v>2025-06</v>
      </c>
      <c r="V244">
        <f t="shared" si="10"/>
        <v>6</v>
      </c>
      <c r="W244" s="2">
        <f t="shared" si="11"/>
        <v>0.15797208196336307</v>
      </c>
    </row>
    <row r="245" spans="1:23">
      <c r="A245" t="s">
        <v>700</v>
      </c>
      <c r="B245" s="1">
        <v>45077</v>
      </c>
      <c r="C245" s="1">
        <v>45084</v>
      </c>
      <c r="D245" t="s">
        <v>701</v>
      </c>
      <c r="E245" t="s">
        <v>306</v>
      </c>
      <c r="F245" t="s">
        <v>23</v>
      </c>
      <c r="G245" t="s">
        <v>140</v>
      </c>
      <c r="H245" t="s">
        <v>141</v>
      </c>
      <c r="I245" t="s">
        <v>46</v>
      </c>
      <c r="J245" t="s">
        <v>27</v>
      </c>
      <c r="K245" t="s">
        <v>179</v>
      </c>
      <c r="L245" t="s">
        <v>244</v>
      </c>
      <c r="M245" t="s">
        <v>245</v>
      </c>
      <c r="N245">
        <v>1</v>
      </c>
      <c r="O245">
        <v>35600</v>
      </c>
      <c r="P245">
        <v>0.05</v>
      </c>
      <c r="Q245">
        <v>33820</v>
      </c>
      <c r="R245">
        <v>18603.810000000001</v>
      </c>
      <c r="S245">
        <v>15216.19</v>
      </c>
      <c r="T245" t="s">
        <v>31</v>
      </c>
      <c r="U245" t="str">
        <f t="shared" si="9"/>
        <v>2023-05</v>
      </c>
      <c r="V245">
        <f t="shared" si="10"/>
        <v>7</v>
      </c>
      <c r="W245" s="2">
        <f t="shared" si="11"/>
        <v>0.44991691306918985</v>
      </c>
    </row>
    <row r="246" spans="1:23">
      <c r="A246" t="s">
        <v>702</v>
      </c>
      <c r="B246" s="1">
        <v>45915</v>
      </c>
      <c r="C246" s="1">
        <v>45921</v>
      </c>
      <c r="D246" t="s">
        <v>305</v>
      </c>
      <c r="E246" t="s">
        <v>193</v>
      </c>
      <c r="F246" t="s">
        <v>54</v>
      </c>
      <c r="G246" t="s">
        <v>55</v>
      </c>
      <c r="H246" t="s">
        <v>56</v>
      </c>
      <c r="I246" t="s">
        <v>57</v>
      </c>
      <c r="J246" t="s">
        <v>47</v>
      </c>
      <c r="K246" t="s">
        <v>173</v>
      </c>
      <c r="L246" t="s">
        <v>203</v>
      </c>
      <c r="M246" t="s">
        <v>204</v>
      </c>
      <c r="N246">
        <v>1</v>
      </c>
      <c r="O246">
        <v>3113100</v>
      </c>
      <c r="P246">
        <v>0.3</v>
      </c>
      <c r="Q246">
        <v>2179170</v>
      </c>
      <c r="R246">
        <v>2373542.16</v>
      </c>
      <c r="S246">
        <v>-194372.16</v>
      </c>
      <c r="T246" t="s">
        <v>73</v>
      </c>
      <c r="U246" t="str">
        <f t="shared" si="9"/>
        <v>2025-09</v>
      </c>
      <c r="V246">
        <f t="shared" si="10"/>
        <v>6</v>
      </c>
      <c r="W246" s="2">
        <f t="shared" si="11"/>
        <v>-8.919550103938656E-2</v>
      </c>
    </row>
    <row r="247" spans="1:23">
      <c r="A247" t="s">
        <v>703</v>
      </c>
      <c r="B247" s="1">
        <v>45536</v>
      </c>
      <c r="C247" s="1">
        <v>45538</v>
      </c>
      <c r="D247" t="s">
        <v>485</v>
      </c>
      <c r="E247" t="s">
        <v>704</v>
      </c>
      <c r="F247" t="s">
        <v>35</v>
      </c>
      <c r="G247" t="s">
        <v>55</v>
      </c>
      <c r="H247" t="s">
        <v>56</v>
      </c>
      <c r="I247" t="s">
        <v>57</v>
      </c>
      <c r="J247" t="s">
        <v>47</v>
      </c>
      <c r="K247" t="s">
        <v>48</v>
      </c>
      <c r="L247" t="s">
        <v>225</v>
      </c>
      <c r="M247" t="s">
        <v>226</v>
      </c>
      <c r="N247">
        <v>1</v>
      </c>
      <c r="O247">
        <v>225300</v>
      </c>
      <c r="P247">
        <v>0.05</v>
      </c>
      <c r="Q247">
        <v>214035</v>
      </c>
      <c r="R247">
        <v>133597.24</v>
      </c>
      <c r="S247">
        <v>80437.759999999995</v>
      </c>
      <c r="T247" t="s">
        <v>40</v>
      </c>
      <c r="U247" t="str">
        <f t="shared" si="9"/>
        <v>2024-09</v>
      </c>
      <c r="V247">
        <f t="shared" si="10"/>
        <v>2</v>
      </c>
      <c r="W247" s="2">
        <f t="shared" si="11"/>
        <v>0.37581591795734343</v>
      </c>
    </row>
    <row r="248" spans="1:23">
      <c r="A248" t="s">
        <v>705</v>
      </c>
      <c r="B248" s="1">
        <v>44979</v>
      </c>
      <c r="C248" s="1">
        <v>44981</v>
      </c>
      <c r="D248" t="s">
        <v>322</v>
      </c>
      <c r="E248" t="s">
        <v>172</v>
      </c>
      <c r="F248" t="s">
        <v>23</v>
      </c>
      <c r="G248" t="s">
        <v>44</v>
      </c>
      <c r="H248" t="s">
        <v>45</v>
      </c>
      <c r="I248" t="s">
        <v>46</v>
      </c>
      <c r="J248" t="s">
        <v>47</v>
      </c>
      <c r="K248" t="s">
        <v>48</v>
      </c>
      <c r="L248" t="s">
        <v>66</v>
      </c>
      <c r="M248" t="s">
        <v>67</v>
      </c>
      <c r="N248">
        <v>2</v>
      </c>
      <c r="O248">
        <v>123400</v>
      </c>
      <c r="P248">
        <v>0.05</v>
      </c>
      <c r="Q248">
        <v>234460</v>
      </c>
      <c r="R248">
        <v>148287.91</v>
      </c>
      <c r="S248">
        <v>86172.09</v>
      </c>
      <c r="T248" t="s">
        <v>31</v>
      </c>
      <c r="U248" t="str">
        <f t="shared" si="9"/>
        <v>2023-02</v>
      </c>
      <c r="V248">
        <f t="shared" si="10"/>
        <v>2</v>
      </c>
      <c r="W248" s="2">
        <f t="shared" si="11"/>
        <v>0.36753429156359291</v>
      </c>
    </row>
    <row r="249" spans="1:23">
      <c r="A249" t="s">
        <v>706</v>
      </c>
      <c r="B249" s="1">
        <v>45720</v>
      </c>
      <c r="C249" s="1">
        <v>45722</v>
      </c>
      <c r="D249" t="s">
        <v>126</v>
      </c>
      <c r="E249" t="s">
        <v>619</v>
      </c>
      <c r="F249" t="s">
        <v>23</v>
      </c>
      <c r="G249" t="s">
        <v>156</v>
      </c>
      <c r="H249" t="s">
        <v>157</v>
      </c>
      <c r="I249" t="s">
        <v>57</v>
      </c>
      <c r="J249" t="s">
        <v>36</v>
      </c>
      <c r="K249" t="s">
        <v>89</v>
      </c>
      <c r="L249" t="s">
        <v>90</v>
      </c>
      <c r="M249" t="s">
        <v>91</v>
      </c>
      <c r="N249">
        <v>1</v>
      </c>
      <c r="O249">
        <v>3157300</v>
      </c>
      <c r="P249">
        <v>0</v>
      </c>
      <c r="Q249">
        <v>3157300</v>
      </c>
      <c r="R249">
        <v>2176766.2000000002</v>
      </c>
      <c r="S249">
        <v>980533.8</v>
      </c>
      <c r="T249" t="s">
        <v>31</v>
      </c>
      <c r="U249" t="str">
        <f t="shared" si="9"/>
        <v>2025-03</v>
      </c>
      <c r="V249">
        <f t="shared" si="10"/>
        <v>2</v>
      </c>
      <c r="W249" s="2">
        <f t="shared" si="11"/>
        <v>0.31056085896177116</v>
      </c>
    </row>
    <row r="250" spans="1:23">
      <c r="A250" t="s">
        <v>707</v>
      </c>
      <c r="B250" s="1">
        <v>45125</v>
      </c>
      <c r="C250" s="1">
        <v>45126</v>
      </c>
      <c r="D250" t="s">
        <v>494</v>
      </c>
      <c r="E250" t="s">
        <v>708</v>
      </c>
      <c r="F250" t="s">
        <v>23</v>
      </c>
      <c r="G250" t="s">
        <v>55</v>
      </c>
      <c r="H250" t="s">
        <v>56</v>
      </c>
      <c r="I250" t="s">
        <v>57</v>
      </c>
      <c r="J250" t="s">
        <v>27</v>
      </c>
      <c r="K250" t="s">
        <v>116</v>
      </c>
      <c r="L250" t="s">
        <v>117</v>
      </c>
      <c r="M250" t="s">
        <v>118</v>
      </c>
      <c r="N250">
        <v>5</v>
      </c>
      <c r="O250">
        <v>29200</v>
      </c>
      <c r="P250">
        <v>0.05</v>
      </c>
      <c r="Q250">
        <v>138700</v>
      </c>
      <c r="R250">
        <v>72943.39</v>
      </c>
      <c r="S250">
        <v>65756.61</v>
      </c>
      <c r="T250" t="s">
        <v>31</v>
      </c>
      <c r="U250" t="str">
        <f t="shared" si="9"/>
        <v>2023-07</v>
      </c>
      <c r="V250">
        <f t="shared" si="10"/>
        <v>1</v>
      </c>
      <c r="W250" s="2">
        <f t="shared" si="11"/>
        <v>0.47409235760634461</v>
      </c>
    </row>
    <row r="251" spans="1:23">
      <c r="A251" t="s">
        <v>709</v>
      </c>
      <c r="B251" s="1">
        <v>45409</v>
      </c>
      <c r="C251" s="1">
        <v>45413</v>
      </c>
      <c r="D251" t="s">
        <v>710</v>
      </c>
      <c r="E251" t="s">
        <v>711</v>
      </c>
      <c r="F251" t="s">
        <v>23</v>
      </c>
      <c r="G251" t="s">
        <v>140</v>
      </c>
      <c r="H251" t="s">
        <v>141</v>
      </c>
      <c r="I251" t="s">
        <v>46</v>
      </c>
      <c r="J251" t="s">
        <v>47</v>
      </c>
      <c r="K251" t="s">
        <v>48</v>
      </c>
      <c r="L251" t="s">
        <v>225</v>
      </c>
      <c r="M251" t="s">
        <v>226</v>
      </c>
      <c r="N251">
        <v>1</v>
      </c>
      <c r="O251">
        <v>245300</v>
      </c>
      <c r="P251">
        <v>0</v>
      </c>
      <c r="Q251">
        <v>245300</v>
      </c>
      <c r="R251">
        <v>158655.31</v>
      </c>
      <c r="S251">
        <v>86644.69</v>
      </c>
      <c r="T251" t="s">
        <v>73</v>
      </c>
      <c r="U251" t="str">
        <f t="shared" si="9"/>
        <v>2024-04</v>
      </c>
      <c r="V251">
        <f t="shared" si="10"/>
        <v>4</v>
      </c>
      <c r="W251" s="2">
        <f t="shared" si="11"/>
        <v>0.35321928251121076</v>
      </c>
    </row>
    <row r="252" spans="1:23">
      <c r="A252" t="s">
        <v>712</v>
      </c>
      <c r="B252" s="1">
        <v>45185</v>
      </c>
      <c r="C252" s="1">
        <v>45186</v>
      </c>
      <c r="D252" t="s">
        <v>713</v>
      </c>
      <c r="E252" t="s">
        <v>714</v>
      </c>
      <c r="F252" t="s">
        <v>23</v>
      </c>
      <c r="G252" t="s">
        <v>169</v>
      </c>
      <c r="H252" t="s">
        <v>157</v>
      </c>
      <c r="I252" t="s">
        <v>57</v>
      </c>
      <c r="J252" t="s">
        <v>36</v>
      </c>
      <c r="K252" t="s">
        <v>37</v>
      </c>
      <c r="L252" t="s">
        <v>58</v>
      </c>
      <c r="M252" t="s">
        <v>59</v>
      </c>
      <c r="N252">
        <v>5</v>
      </c>
      <c r="O252">
        <v>832400</v>
      </c>
      <c r="P252">
        <v>0.25</v>
      </c>
      <c r="Q252">
        <v>3121500</v>
      </c>
      <c r="R252">
        <v>2891539.92</v>
      </c>
      <c r="S252">
        <v>229960.08</v>
      </c>
      <c r="T252" t="s">
        <v>73</v>
      </c>
      <c r="U252" t="str">
        <f t="shared" si="9"/>
        <v>2023-09</v>
      </c>
      <c r="V252">
        <f t="shared" si="10"/>
        <v>1</v>
      </c>
      <c r="W252" s="2">
        <f t="shared" si="11"/>
        <v>7.3669735703988465E-2</v>
      </c>
    </row>
    <row r="253" spans="1:23">
      <c r="A253" t="s">
        <v>715</v>
      </c>
      <c r="B253" s="1">
        <v>45740</v>
      </c>
      <c r="C253" s="1">
        <v>45745</v>
      </c>
      <c r="D253" t="s">
        <v>516</v>
      </c>
      <c r="E253" t="s">
        <v>261</v>
      </c>
      <c r="F253" t="s">
        <v>23</v>
      </c>
      <c r="G253" t="s">
        <v>87</v>
      </c>
      <c r="H253" t="s">
        <v>88</v>
      </c>
      <c r="I253" t="s">
        <v>46</v>
      </c>
      <c r="J253" t="s">
        <v>47</v>
      </c>
      <c r="K253" t="s">
        <v>48</v>
      </c>
      <c r="L253" t="s">
        <v>66</v>
      </c>
      <c r="M253" t="s">
        <v>67</v>
      </c>
      <c r="N253">
        <v>4</v>
      </c>
      <c r="O253">
        <v>129600</v>
      </c>
      <c r="P253">
        <v>0.1</v>
      </c>
      <c r="Q253">
        <v>466560</v>
      </c>
      <c r="R253">
        <v>302039.21999999997</v>
      </c>
      <c r="S253">
        <v>164520.78</v>
      </c>
      <c r="T253" t="s">
        <v>31</v>
      </c>
      <c r="U253" t="str">
        <f t="shared" si="9"/>
        <v>2025-03</v>
      </c>
      <c r="V253">
        <f t="shared" si="10"/>
        <v>5</v>
      </c>
      <c r="W253" s="2">
        <f t="shared" si="11"/>
        <v>0.35262512860082307</v>
      </c>
    </row>
    <row r="254" spans="1:23">
      <c r="A254" t="s">
        <v>716</v>
      </c>
      <c r="B254" s="1">
        <v>45132</v>
      </c>
      <c r="C254" s="1">
        <v>45133</v>
      </c>
      <c r="D254" t="s">
        <v>351</v>
      </c>
      <c r="E254" t="s">
        <v>717</v>
      </c>
      <c r="F254" t="s">
        <v>54</v>
      </c>
      <c r="G254" t="s">
        <v>95</v>
      </c>
      <c r="H254" t="s">
        <v>96</v>
      </c>
      <c r="I254" t="s">
        <v>26</v>
      </c>
      <c r="J254" t="s">
        <v>36</v>
      </c>
      <c r="K254" t="s">
        <v>81</v>
      </c>
      <c r="L254" t="s">
        <v>215</v>
      </c>
      <c r="M254" t="s">
        <v>216</v>
      </c>
      <c r="N254">
        <v>5</v>
      </c>
      <c r="O254">
        <v>1676700</v>
      </c>
      <c r="P254">
        <v>0.1</v>
      </c>
      <c r="Q254">
        <v>7545150</v>
      </c>
      <c r="R254">
        <v>5667913.2800000003</v>
      </c>
      <c r="S254">
        <v>1877236.72</v>
      </c>
      <c r="T254" t="s">
        <v>60</v>
      </c>
      <c r="U254" t="str">
        <f t="shared" si="9"/>
        <v>2023-07</v>
      </c>
      <c r="V254">
        <f t="shared" si="10"/>
        <v>1</v>
      </c>
      <c r="W254" s="2">
        <f t="shared" si="11"/>
        <v>0.24880045062059733</v>
      </c>
    </row>
    <row r="255" spans="1:23">
      <c r="A255" t="s">
        <v>718</v>
      </c>
      <c r="B255" s="1">
        <v>45491</v>
      </c>
      <c r="C255" s="1">
        <v>45495</v>
      </c>
      <c r="D255" t="s">
        <v>719</v>
      </c>
      <c r="E255" t="s">
        <v>720</v>
      </c>
      <c r="F255" t="s">
        <v>23</v>
      </c>
      <c r="G255" t="s">
        <v>140</v>
      </c>
      <c r="H255" t="s">
        <v>141</v>
      </c>
      <c r="I255" t="s">
        <v>46</v>
      </c>
      <c r="J255" t="s">
        <v>47</v>
      </c>
      <c r="K255" t="s">
        <v>48</v>
      </c>
      <c r="L255" t="s">
        <v>225</v>
      </c>
      <c r="M255" t="s">
        <v>226</v>
      </c>
      <c r="N255">
        <v>3</v>
      </c>
      <c r="O255">
        <v>209500</v>
      </c>
      <c r="P255">
        <v>0.05</v>
      </c>
      <c r="Q255">
        <v>597075</v>
      </c>
      <c r="R255">
        <v>371411.81</v>
      </c>
      <c r="S255">
        <v>225663.19</v>
      </c>
      <c r="T255" t="s">
        <v>60</v>
      </c>
      <c r="U255" t="str">
        <f t="shared" si="9"/>
        <v>2024-07</v>
      </c>
      <c r="V255">
        <f t="shared" si="10"/>
        <v>4</v>
      </c>
      <c r="W255" s="2">
        <f t="shared" si="11"/>
        <v>0.37794781225139223</v>
      </c>
    </row>
    <row r="256" spans="1:23">
      <c r="A256" t="s">
        <v>721</v>
      </c>
      <c r="B256" s="1">
        <v>45547</v>
      </c>
      <c r="C256" s="1">
        <v>45550</v>
      </c>
      <c r="D256" t="s">
        <v>239</v>
      </c>
      <c r="E256" t="s">
        <v>722</v>
      </c>
      <c r="F256" t="s">
        <v>54</v>
      </c>
      <c r="G256" t="s">
        <v>44</v>
      </c>
      <c r="H256" t="s">
        <v>45</v>
      </c>
      <c r="I256" t="s">
        <v>46</v>
      </c>
      <c r="J256" t="s">
        <v>47</v>
      </c>
      <c r="K256" t="s">
        <v>128</v>
      </c>
      <c r="L256" t="s">
        <v>129</v>
      </c>
      <c r="M256" t="s">
        <v>130</v>
      </c>
      <c r="N256">
        <v>1</v>
      </c>
      <c r="O256">
        <v>1615800</v>
      </c>
      <c r="P256">
        <v>0.05</v>
      </c>
      <c r="Q256">
        <v>1535010</v>
      </c>
      <c r="R256">
        <v>1230103.8</v>
      </c>
      <c r="S256">
        <v>304906.2</v>
      </c>
      <c r="T256" t="s">
        <v>73</v>
      </c>
      <c r="U256" t="str">
        <f t="shared" si="9"/>
        <v>2024-09</v>
      </c>
      <c r="V256">
        <f t="shared" si="10"/>
        <v>3</v>
      </c>
      <c r="W256" s="2">
        <f t="shared" si="11"/>
        <v>0.19863466687513437</v>
      </c>
    </row>
    <row r="257" spans="1:23">
      <c r="A257" t="s">
        <v>723</v>
      </c>
      <c r="B257" s="1">
        <v>45109</v>
      </c>
      <c r="C257" s="1">
        <v>45111</v>
      </c>
      <c r="D257" t="s">
        <v>93</v>
      </c>
      <c r="E257" t="s">
        <v>724</v>
      </c>
      <c r="F257" t="s">
        <v>35</v>
      </c>
      <c r="G257" t="s">
        <v>64</v>
      </c>
      <c r="H257" t="s">
        <v>65</v>
      </c>
      <c r="I257" t="s">
        <v>57</v>
      </c>
      <c r="J257" t="s">
        <v>36</v>
      </c>
      <c r="K257" t="s">
        <v>89</v>
      </c>
      <c r="L257" t="s">
        <v>90</v>
      </c>
      <c r="M257" t="s">
        <v>91</v>
      </c>
      <c r="N257">
        <v>5</v>
      </c>
      <c r="O257">
        <v>3192100</v>
      </c>
      <c r="P257">
        <v>0</v>
      </c>
      <c r="Q257">
        <v>15960500</v>
      </c>
      <c r="R257">
        <v>11065609.390000001</v>
      </c>
      <c r="S257">
        <v>4894890.6100000003</v>
      </c>
      <c r="T257" t="s">
        <v>60</v>
      </c>
      <c r="U257" t="str">
        <f t="shared" si="9"/>
        <v>2023-07</v>
      </c>
      <c r="V257">
        <f t="shared" si="10"/>
        <v>2</v>
      </c>
      <c r="W257" s="2">
        <f t="shared" si="11"/>
        <v>0.30668779862786255</v>
      </c>
    </row>
    <row r="258" spans="1:23">
      <c r="A258" t="s">
        <v>725</v>
      </c>
      <c r="B258" s="1">
        <v>46000</v>
      </c>
      <c r="C258" s="1">
        <v>46005</v>
      </c>
      <c r="D258" t="s">
        <v>250</v>
      </c>
      <c r="E258" t="s">
        <v>726</v>
      </c>
      <c r="F258" t="s">
        <v>54</v>
      </c>
      <c r="G258" t="s">
        <v>24</v>
      </c>
      <c r="H258" t="s">
        <v>25</v>
      </c>
      <c r="I258" t="s">
        <v>26</v>
      </c>
      <c r="J258" t="s">
        <v>47</v>
      </c>
      <c r="K258" t="s">
        <v>173</v>
      </c>
      <c r="L258" t="s">
        <v>174</v>
      </c>
      <c r="M258" t="s">
        <v>175</v>
      </c>
      <c r="N258">
        <v>1</v>
      </c>
      <c r="O258">
        <v>4282300</v>
      </c>
      <c r="P258">
        <v>0.05</v>
      </c>
      <c r="Q258">
        <v>4068185</v>
      </c>
      <c r="R258">
        <v>3134271.91</v>
      </c>
      <c r="S258">
        <v>933913.09</v>
      </c>
      <c r="T258" t="s">
        <v>73</v>
      </c>
      <c r="U258" t="str">
        <f t="shared" si="9"/>
        <v>2025-12</v>
      </c>
      <c r="V258">
        <f t="shared" si="10"/>
        <v>5</v>
      </c>
      <c r="W258" s="2">
        <f t="shared" si="11"/>
        <v>0.22956504927873239</v>
      </c>
    </row>
    <row r="259" spans="1:23">
      <c r="A259" t="s">
        <v>727</v>
      </c>
      <c r="B259" s="1">
        <v>45961</v>
      </c>
      <c r="C259" s="1">
        <v>45965</v>
      </c>
      <c r="D259" t="s">
        <v>171</v>
      </c>
      <c r="E259" t="s">
        <v>728</v>
      </c>
      <c r="F259" t="s">
        <v>23</v>
      </c>
      <c r="G259" t="s">
        <v>140</v>
      </c>
      <c r="H259" t="s">
        <v>141</v>
      </c>
      <c r="I259" t="s">
        <v>46</v>
      </c>
      <c r="J259" t="s">
        <v>27</v>
      </c>
      <c r="K259" t="s">
        <v>100</v>
      </c>
      <c r="L259" t="s">
        <v>105</v>
      </c>
      <c r="M259" t="s">
        <v>106</v>
      </c>
      <c r="N259">
        <v>3</v>
      </c>
      <c r="O259">
        <v>71400</v>
      </c>
      <c r="P259">
        <v>0.2</v>
      </c>
      <c r="Q259">
        <v>171360</v>
      </c>
      <c r="R259">
        <v>127502.72</v>
      </c>
      <c r="S259">
        <v>43857.279999999999</v>
      </c>
      <c r="T259" t="s">
        <v>40</v>
      </c>
      <c r="U259" t="str">
        <f t="shared" ref="U259:U322" si="12">TEXT(B259,"yyyy-mm")</f>
        <v>2025-10</v>
      </c>
      <c r="V259">
        <f t="shared" ref="V259:V322" si="13">C259-B259</f>
        <v>4</v>
      </c>
      <c r="W259" s="2">
        <f t="shared" ref="W259:W322" si="14">IF(Q259=0,0,S259/Q259)</f>
        <v>0.25593650793650791</v>
      </c>
    </row>
    <row r="260" spans="1:23">
      <c r="A260" t="s">
        <v>729</v>
      </c>
      <c r="B260" s="1">
        <v>45456</v>
      </c>
      <c r="C260" s="1">
        <v>45462</v>
      </c>
      <c r="D260" t="s">
        <v>491</v>
      </c>
      <c r="E260" t="s">
        <v>730</v>
      </c>
      <c r="F260" t="s">
        <v>23</v>
      </c>
      <c r="G260" t="s">
        <v>95</v>
      </c>
      <c r="H260" t="s">
        <v>96</v>
      </c>
      <c r="I260" t="s">
        <v>26</v>
      </c>
      <c r="J260" t="s">
        <v>27</v>
      </c>
      <c r="K260" t="s">
        <v>100</v>
      </c>
      <c r="L260" t="s">
        <v>105</v>
      </c>
      <c r="M260" t="s">
        <v>106</v>
      </c>
      <c r="N260">
        <v>1</v>
      </c>
      <c r="O260">
        <v>78000</v>
      </c>
      <c r="P260">
        <v>0.25</v>
      </c>
      <c r="Q260">
        <v>58500</v>
      </c>
      <c r="R260">
        <v>48018.84</v>
      </c>
      <c r="S260">
        <v>10481.16</v>
      </c>
      <c r="T260" t="s">
        <v>31</v>
      </c>
      <c r="U260" t="str">
        <f t="shared" si="12"/>
        <v>2024-06</v>
      </c>
      <c r="V260">
        <f t="shared" si="13"/>
        <v>6</v>
      </c>
      <c r="W260" s="2">
        <f t="shared" si="14"/>
        <v>0.1791651282051282</v>
      </c>
    </row>
    <row r="261" spans="1:23">
      <c r="A261" t="s">
        <v>731</v>
      </c>
      <c r="B261" s="1">
        <v>45478</v>
      </c>
      <c r="C261" s="1">
        <v>45484</v>
      </c>
      <c r="D261" t="s">
        <v>629</v>
      </c>
      <c r="E261" t="s">
        <v>196</v>
      </c>
      <c r="F261" t="s">
        <v>23</v>
      </c>
      <c r="G261" t="s">
        <v>140</v>
      </c>
      <c r="H261" t="s">
        <v>141</v>
      </c>
      <c r="I261" t="s">
        <v>46</v>
      </c>
      <c r="J261" t="s">
        <v>36</v>
      </c>
      <c r="K261" t="s">
        <v>81</v>
      </c>
      <c r="L261" t="s">
        <v>215</v>
      </c>
      <c r="M261" t="s">
        <v>216</v>
      </c>
      <c r="N261">
        <v>3</v>
      </c>
      <c r="O261">
        <v>1806400</v>
      </c>
      <c r="P261">
        <v>0</v>
      </c>
      <c r="Q261">
        <v>5419200</v>
      </c>
      <c r="R261">
        <v>3515191.72</v>
      </c>
      <c r="S261">
        <v>1904008.28</v>
      </c>
      <c r="T261" t="s">
        <v>73</v>
      </c>
      <c r="U261" t="str">
        <f t="shared" si="12"/>
        <v>2024-07</v>
      </c>
      <c r="V261">
        <f t="shared" si="13"/>
        <v>6</v>
      </c>
      <c r="W261" s="2">
        <f t="shared" si="14"/>
        <v>0.35134489961617954</v>
      </c>
    </row>
    <row r="262" spans="1:23">
      <c r="A262" t="s">
        <v>732</v>
      </c>
      <c r="B262" s="1">
        <v>45490</v>
      </c>
      <c r="C262" s="1">
        <v>45494</v>
      </c>
      <c r="D262" t="s">
        <v>733</v>
      </c>
      <c r="E262" t="s">
        <v>386</v>
      </c>
      <c r="F262" t="s">
        <v>23</v>
      </c>
      <c r="G262" t="s">
        <v>64</v>
      </c>
      <c r="H262" t="s">
        <v>65</v>
      </c>
      <c r="I262" t="s">
        <v>57</v>
      </c>
      <c r="J262" t="s">
        <v>27</v>
      </c>
      <c r="K262" t="s">
        <v>179</v>
      </c>
      <c r="L262" t="s">
        <v>180</v>
      </c>
      <c r="M262" t="s">
        <v>181</v>
      </c>
      <c r="N262">
        <v>2</v>
      </c>
      <c r="O262">
        <v>56800</v>
      </c>
      <c r="P262">
        <v>0.1</v>
      </c>
      <c r="Q262">
        <v>102240</v>
      </c>
      <c r="R262">
        <v>61772.4</v>
      </c>
      <c r="S262">
        <v>40467.599999999999</v>
      </c>
      <c r="T262" t="s">
        <v>40</v>
      </c>
      <c r="U262" t="str">
        <f t="shared" si="12"/>
        <v>2024-07</v>
      </c>
      <c r="V262">
        <f t="shared" si="13"/>
        <v>4</v>
      </c>
      <c r="W262" s="2">
        <f t="shared" si="14"/>
        <v>0.39580985915492956</v>
      </c>
    </row>
    <row r="263" spans="1:23">
      <c r="A263" t="s">
        <v>734</v>
      </c>
      <c r="B263" s="1">
        <v>45693</v>
      </c>
      <c r="C263" s="1">
        <v>45698</v>
      </c>
      <c r="D263" t="s">
        <v>221</v>
      </c>
      <c r="E263" t="s">
        <v>735</v>
      </c>
      <c r="F263" t="s">
        <v>35</v>
      </c>
      <c r="G263" t="s">
        <v>95</v>
      </c>
      <c r="H263" t="s">
        <v>96</v>
      </c>
      <c r="I263" t="s">
        <v>26</v>
      </c>
      <c r="J263" t="s">
        <v>27</v>
      </c>
      <c r="K263" t="s">
        <v>179</v>
      </c>
      <c r="L263" t="s">
        <v>244</v>
      </c>
      <c r="M263" t="s">
        <v>245</v>
      </c>
      <c r="N263">
        <v>1</v>
      </c>
      <c r="O263">
        <v>42500</v>
      </c>
      <c r="P263">
        <v>0.1</v>
      </c>
      <c r="Q263">
        <v>38250</v>
      </c>
      <c r="R263">
        <v>22567.37</v>
      </c>
      <c r="S263">
        <v>15682.63</v>
      </c>
      <c r="T263" t="s">
        <v>40</v>
      </c>
      <c r="U263" t="str">
        <f t="shared" si="12"/>
        <v>2025-02</v>
      </c>
      <c r="V263">
        <f t="shared" si="13"/>
        <v>5</v>
      </c>
      <c r="W263" s="2">
        <f t="shared" si="14"/>
        <v>0.41000339869281044</v>
      </c>
    </row>
    <row r="264" spans="1:23">
      <c r="A264" t="s">
        <v>736</v>
      </c>
      <c r="B264" s="1">
        <v>45538</v>
      </c>
      <c r="C264" s="1">
        <v>45540</v>
      </c>
      <c r="D264" t="s">
        <v>737</v>
      </c>
      <c r="E264" t="s">
        <v>738</v>
      </c>
      <c r="F264" t="s">
        <v>35</v>
      </c>
      <c r="G264" t="s">
        <v>140</v>
      </c>
      <c r="H264" t="s">
        <v>141</v>
      </c>
      <c r="I264" t="s">
        <v>46</v>
      </c>
      <c r="J264" t="s">
        <v>47</v>
      </c>
      <c r="K264" t="s">
        <v>173</v>
      </c>
      <c r="L264" t="s">
        <v>174</v>
      </c>
      <c r="M264" t="s">
        <v>175</v>
      </c>
      <c r="N264">
        <v>3</v>
      </c>
      <c r="O264">
        <v>4933900</v>
      </c>
      <c r="P264">
        <v>0.15</v>
      </c>
      <c r="Q264">
        <v>12581445</v>
      </c>
      <c r="R264">
        <v>11492062.91</v>
      </c>
      <c r="S264">
        <v>1089382.0900000001</v>
      </c>
      <c r="T264" t="s">
        <v>40</v>
      </c>
      <c r="U264" t="str">
        <f t="shared" si="12"/>
        <v>2024-09</v>
      </c>
      <c r="V264">
        <f t="shared" si="13"/>
        <v>2</v>
      </c>
      <c r="W264" s="2">
        <f t="shared" si="14"/>
        <v>8.6586404820749932E-2</v>
      </c>
    </row>
    <row r="265" spans="1:23">
      <c r="A265" t="s">
        <v>739</v>
      </c>
      <c r="B265" s="1">
        <v>45784</v>
      </c>
      <c r="C265" s="1">
        <v>45788</v>
      </c>
      <c r="D265" t="s">
        <v>494</v>
      </c>
      <c r="E265" t="s">
        <v>740</v>
      </c>
      <c r="F265" t="s">
        <v>35</v>
      </c>
      <c r="G265" t="s">
        <v>55</v>
      </c>
      <c r="H265" t="s">
        <v>56</v>
      </c>
      <c r="I265" t="s">
        <v>57</v>
      </c>
      <c r="J265" t="s">
        <v>36</v>
      </c>
      <c r="K265" t="s">
        <v>81</v>
      </c>
      <c r="L265" t="s">
        <v>215</v>
      </c>
      <c r="M265" t="s">
        <v>216</v>
      </c>
      <c r="N265">
        <v>2</v>
      </c>
      <c r="O265">
        <v>1849600</v>
      </c>
      <c r="P265">
        <v>0.1</v>
      </c>
      <c r="Q265">
        <v>3329280</v>
      </c>
      <c r="R265">
        <v>2521993.62</v>
      </c>
      <c r="S265">
        <v>807286.38</v>
      </c>
      <c r="T265" t="s">
        <v>73</v>
      </c>
      <c r="U265" t="str">
        <f t="shared" si="12"/>
        <v>2025-05</v>
      </c>
      <c r="V265">
        <f t="shared" si="13"/>
        <v>4</v>
      </c>
      <c r="W265" s="2">
        <f t="shared" si="14"/>
        <v>0.24248077061707035</v>
      </c>
    </row>
    <row r="266" spans="1:23">
      <c r="A266" t="s">
        <v>741</v>
      </c>
      <c r="B266" s="1">
        <v>45661</v>
      </c>
      <c r="C266" s="1">
        <v>45666</v>
      </c>
      <c r="D266" t="s">
        <v>450</v>
      </c>
      <c r="E266" t="s">
        <v>742</v>
      </c>
      <c r="F266" t="s">
        <v>23</v>
      </c>
      <c r="G266" t="s">
        <v>87</v>
      </c>
      <c r="H266" t="s">
        <v>88</v>
      </c>
      <c r="I266" t="s">
        <v>46</v>
      </c>
      <c r="J266" t="s">
        <v>47</v>
      </c>
      <c r="K266" t="s">
        <v>173</v>
      </c>
      <c r="L266" t="s">
        <v>203</v>
      </c>
      <c r="M266" t="s">
        <v>204</v>
      </c>
      <c r="N266">
        <v>2</v>
      </c>
      <c r="O266">
        <v>3401600</v>
      </c>
      <c r="P266">
        <v>0.15</v>
      </c>
      <c r="Q266">
        <v>5782720</v>
      </c>
      <c r="R266">
        <v>5287666.97</v>
      </c>
      <c r="S266">
        <v>495053.03</v>
      </c>
      <c r="T266" t="s">
        <v>31</v>
      </c>
      <c r="U266" t="str">
        <f t="shared" si="12"/>
        <v>2025-01</v>
      </c>
      <c r="V266">
        <f t="shared" si="13"/>
        <v>5</v>
      </c>
      <c r="W266" s="2">
        <f t="shared" si="14"/>
        <v>8.5609026548060435E-2</v>
      </c>
    </row>
    <row r="267" spans="1:23">
      <c r="A267" t="s">
        <v>743</v>
      </c>
      <c r="B267" s="1">
        <v>45614</v>
      </c>
      <c r="C267" s="1">
        <v>45620</v>
      </c>
      <c r="D267" t="s">
        <v>198</v>
      </c>
      <c r="E267" t="s">
        <v>294</v>
      </c>
      <c r="F267" t="s">
        <v>35</v>
      </c>
      <c r="G267" t="s">
        <v>24</v>
      </c>
      <c r="H267" t="s">
        <v>25</v>
      </c>
      <c r="I267" t="s">
        <v>26</v>
      </c>
      <c r="J267" t="s">
        <v>47</v>
      </c>
      <c r="K267" t="s">
        <v>48</v>
      </c>
      <c r="L267" t="s">
        <v>49</v>
      </c>
      <c r="M267" t="s">
        <v>50</v>
      </c>
      <c r="N267">
        <v>2</v>
      </c>
      <c r="O267">
        <v>531100</v>
      </c>
      <c r="P267">
        <v>0.05</v>
      </c>
      <c r="Q267">
        <v>1009090</v>
      </c>
      <c r="R267">
        <v>675768.45</v>
      </c>
      <c r="S267">
        <v>333321.55</v>
      </c>
      <c r="T267" t="s">
        <v>60</v>
      </c>
      <c r="U267" t="str">
        <f t="shared" si="12"/>
        <v>2024-11</v>
      </c>
      <c r="V267">
        <f t="shared" si="13"/>
        <v>6</v>
      </c>
      <c r="W267" s="2">
        <f t="shared" si="14"/>
        <v>0.33031895073779344</v>
      </c>
    </row>
    <row r="268" spans="1:23">
      <c r="A268" t="s">
        <v>744</v>
      </c>
      <c r="B268" s="1">
        <v>45890</v>
      </c>
      <c r="C268" s="1">
        <v>45891</v>
      </c>
      <c r="D268" t="s">
        <v>745</v>
      </c>
      <c r="E268" t="s">
        <v>746</v>
      </c>
      <c r="F268" t="s">
        <v>54</v>
      </c>
      <c r="G268" t="s">
        <v>64</v>
      </c>
      <c r="H268" t="s">
        <v>65</v>
      </c>
      <c r="I268" t="s">
        <v>57</v>
      </c>
      <c r="J268" t="s">
        <v>27</v>
      </c>
      <c r="K268" t="s">
        <v>100</v>
      </c>
      <c r="L268" t="s">
        <v>105</v>
      </c>
      <c r="M268" t="s">
        <v>106</v>
      </c>
      <c r="N268">
        <v>5</v>
      </c>
      <c r="O268">
        <v>74800</v>
      </c>
      <c r="P268">
        <v>0</v>
      </c>
      <c r="Q268">
        <v>374000</v>
      </c>
      <c r="R268">
        <v>207598.53</v>
      </c>
      <c r="S268">
        <v>166401.47</v>
      </c>
      <c r="T268" t="s">
        <v>31</v>
      </c>
      <c r="U268" t="str">
        <f t="shared" si="12"/>
        <v>2025-08</v>
      </c>
      <c r="V268">
        <f t="shared" si="13"/>
        <v>1</v>
      </c>
      <c r="W268" s="2">
        <f t="shared" si="14"/>
        <v>0.4449237165775401</v>
      </c>
    </row>
    <row r="269" spans="1:23">
      <c r="A269" t="s">
        <v>747</v>
      </c>
      <c r="B269" s="1">
        <v>45628</v>
      </c>
      <c r="C269" s="1">
        <v>45632</v>
      </c>
      <c r="D269" t="s">
        <v>748</v>
      </c>
      <c r="E269" t="s">
        <v>595</v>
      </c>
      <c r="F269" t="s">
        <v>23</v>
      </c>
      <c r="G269" t="s">
        <v>80</v>
      </c>
      <c r="H269" t="s">
        <v>45</v>
      </c>
      <c r="I269" t="s">
        <v>46</v>
      </c>
      <c r="J269" t="s">
        <v>27</v>
      </c>
      <c r="K269" t="s">
        <v>116</v>
      </c>
      <c r="L269" t="s">
        <v>207</v>
      </c>
      <c r="M269" t="s">
        <v>208</v>
      </c>
      <c r="N269">
        <v>4</v>
      </c>
      <c r="O269">
        <v>115800</v>
      </c>
      <c r="P269">
        <v>0.1</v>
      </c>
      <c r="Q269">
        <v>416880</v>
      </c>
      <c r="R269">
        <v>256891.96</v>
      </c>
      <c r="S269">
        <v>159988.04</v>
      </c>
      <c r="T269" t="s">
        <v>73</v>
      </c>
      <c r="U269" t="str">
        <f t="shared" si="12"/>
        <v>2024-12</v>
      </c>
      <c r="V269">
        <f t="shared" si="13"/>
        <v>4</v>
      </c>
      <c r="W269" s="2">
        <f t="shared" si="14"/>
        <v>0.38377480330071007</v>
      </c>
    </row>
    <row r="270" spans="1:23">
      <c r="A270" t="s">
        <v>749</v>
      </c>
      <c r="B270" s="1">
        <v>45487</v>
      </c>
      <c r="C270" s="1">
        <v>45489</v>
      </c>
      <c r="D270" t="s">
        <v>263</v>
      </c>
      <c r="E270" t="s">
        <v>363</v>
      </c>
      <c r="F270" t="s">
        <v>35</v>
      </c>
      <c r="G270" t="s">
        <v>55</v>
      </c>
      <c r="H270" t="s">
        <v>56</v>
      </c>
      <c r="I270" t="s">
        <v>57</v>
      </c>
      <c r="J270" t="s">
        <v>27</v>
      </c>
      <c r="K270" t="s">
        <v>28</v>
      </c>
      <c r="L270" t="s">
        <v>71</v>
      </c>
      <c r="M270" t="s">
        <v>72</v>
      </c>
      <c r="N270">
        <v>4</v>
      </c>
      <c r="O270">
        <v>48200</v>
      </c>
      <c r="P270">
        <v>0</v>
      </c>
      <c r="Q270">
        <v>192800</v>
      </c>
      <c r="R270">
        <v>100895.88</v>
      </c>
      <c r="S270">
        <v>91904.12</v>
      </c>
      <c r="T270" t="s">
        <v>40</v>
      </c>
      <c r="U270" t="str">
        <f t="shared" si="12"/>
        <v>2024-07</v>
      </c>
      <c r="V270">
        <f t="shared" si="13"/>
        <v>2</v>
      </c>
      <c r="W270" s="2">
        <f t="shared" si="14"/>
        <v>0.4766811203319502</v>
      </c>
    </row>
    <row r="271" spans="1:23">
      <c r="A271" t="s">
        <v>750</v>
      </c>
      <c r="B271" s="1">
        <v>45904</v>
      </c>
      <c r="C271" s="1">
        <v>45908</v>
      </c>
      <c r="D271" t="s">
        <v>751</v>
      </c>
      <c r="E271" t="s">
        <v>752</v>
      </c>
      <c r="F271" t="s">
        <v>54</v>
      </c>
      <c r="G271" t="s">
        <v>156</v>
      </c>
      <c r="H271" t="s">
        <v>157</v>
      </c>
      <c r="I271" t="s">
        <v>57</v>
      </c>
      <c r="J271" t="s">
        <v>47</v>
      </c>
      <c r="K271" t="s">
        <v>173</v>
      </c>
      <c r="L271" t="s">
        <v>174</v>
      </c>
      <c r="M271" t="s">
        <v>175</v>
      </c>
      <c r="N271">
        <v>4</v>
      </c>
      <c r="O271">
        <v>4779100</v>
      </c>
      <c r="P271">
        <v>0</v>
      </c>
      <c r="Q271">
        <v>19116400</v>
      </c>
      <c r="R271">
        <v>13628121.199999999</v>
      </c>
      <c r="S271">
        <v>5488278.7999999998</v>
      </c>
      <c r="T271" t="s">
        <v>60</v>
      </c>
      <c r="U271" t="str">
        <f t="shared" si="12"/>
        <v>2025-09</v>
      </c>
      <c r="V271">
        <f t="shared" si="13"/>
        <v>4</v>
      </c>
      <c r="W271" s="2">
        <f t="shared" si="14"/>
        <v>0.28709792638781362</v>
      </c>
    </row>
    <row r="272" spans="1:23">
      <c r="A272" t="s">
        <v>753</v>
      </c>
      <c r="B272" s="1">
        <v>45632</v>
      </c>
      <c r="C272" s="1">
        <v>45635</v>
      </c>
      <c r="D272" t="s">
        <v>396</v>
      </c>
      <c r="E272" t="s">
        <v>754</v>
      </c>
      <c r="F272" t="s">
        <v>35</v>
      </c>
      <c r="G272" t="s">
        <v>87</v>
      </c>
      <c r="H272" t="s">
        <v>88</v>
      </c>
      <c r="I272" t="s">
        <v>46</v>
      </c>
      <c r="J272" t="s">
        <v>47</v>
      </c>
      <c r="K272" t="s">
        <v>48</v>
      </c>
      <c r="L272" t="s">
        <v>225</v>
      </c>
      <c r="M272" t="s">
        <v>226</v>
      </c>
      <c r="N272">
        <v>1</v>
      </c>
      <c r="O272">
        <v>209300</v>
      </c>
      <c r="P272">
        <v>0.25</v>
      </c>
      <c r="Q272">
        <v>156975</v>
      </c>
      <c r="R272">
        <v>126744.18</v>
      </c>
      <c r="S272">
        <v>30230.82</v>
      </c>
      <c r="T272" t="s">
        <v>73</v>
      </c>
      <c r="U272" t="str">
        <f t="shared" si="12"/>
        <v>2024-12</v>
      </c>
      <c r="V272">
        <f t="shared" si="13"/>
        <v>3</v>
      </c>
      <c r="W272" s="2">
        <f t="shared" si="14"/>
        <v>0.19258365981844242</v>
      </c>
    </row>
    <row r="273" spans="1:23">
      <c r="A273" t="s">
        <v>755</v>
      </c>
      <c r="B273" s="1">
        <v>45201</v>
      </c>
      <c r="C273" s="1">
        <v>45204</v>
      </c>
      <c r="D273" t="s">
        <v>756</v>
      </c>
      <c r="E273" t="s">
        <v>627</v>
      </c>
      <c r="F273" t="s">
        <v>35</v>
      </c>
      <c r="G273" t="s">
        <v>156</v>
      </c>
      <c r="H273" t="s">
        <v>157</v>
      </c>
      <c r="I273" t="s">
        <v>57</v>
      </c>
      <c r="J273" t="s">
        <v>27</v>
      </c>
      <c r="K273" t="s">
        <v>116</v>
      </c>
      <c r="L273" t="s">
        <v>207</v>
      </c>
      <c r="M273" t="s">
        <v>208</v>
      </c>
      <c r="N273">
        <v>8</v>
      </c>
      <c r="O273">
        <v>126700</v>
      </c>
      <c r="P273">
        <v>0.05</v>
      </c>
      <c r="Q273">
        <v>962920</v>
      </c>
      <c r="R273">
        <v>566020.39</v>
      </c>
      <c r="S273">
        <v>396899.61</v>
      </c>
      <c r="T273" t="s">
        <v>73</v>
      </c>
      <c r="U273" t="str">
        <f t="shared" si="12"/>
        <v>2023-10</v>
      </c>
      <c r="V273">
        <f t="shared" si="13"/>
        <v>3</v>
      </c>
      <c r="W273" s="2">
        <f t="shared" si="14"/>
        <v>0.41218336933493954</v>
      </c>
    </row>
    <row r="274" spans="1:23">
      <c r="A274" t="s">
        <v>757</v>
      </c>
      <c r="B274" s="1">
        <v>44971</v>
      </c>
      <c r="C274" s="1">
        <v>44976</v>
      </c>
      <c r="D274" t="s">
        <v>758</v>
      </c>
      <c r="E274" t="s">
        <v>759</v>
      </c>
      <c r="F274" t="s">
        <v>35</v>
      </c>
      <c r="G274" t="s">
        <v>156</v>
      </c>
      <c r="H274" t="s">
        <v>157</v>
      </c>
      <c r="I274" t="s">
        <v>57</v>
      </c>
      <c r="J274" t="s">
        <v>36</v>
      </c>
      <c r="K274" t="s">
        <v>81</v>
      </c>
      <c r="L274" t="s">
        <v>215</v>
      </c>
      <c r="M274" t="s">
        <v>216</v>
      </c>
      <c r="N274">
        <v>2</v>
      </c>
      <c r="O274">
        <v>1821500</v>
      </c>
      <c r="P274">
        <v>0.15</v>
      </c>
      <c r="Q274">
        <v>3096550</v>
      </c>
      <c r="R274">
        <v>2478933.86</v>
      </c>
      <c r="S274">
        <v>617616.14</v>
      </c>
      <c r="T274" t="s">
        <v>31</v>
      </c>
      <c r="U274" t="str">
        <f t="shared" si="12"/>
        <v>2023-02</v>
      </c>
      <c r="V274">
        <f t="shared" si="13"/>
        <v>5</v>
      </c>
      <c r="W274" s="2">
        <f t="shared" si="14"/>
        <v>0.19945298477337683</v>
      </c>
    </row>
    <row r="275" spans="1:23">
      <c r="A275" t="s">
        <v>760</v>
      </c>
      <c r="B275" s="1">
        <v>44967</v>
      </c>
      <c r="C275" s="1">
        <v>44968</v>
      </c>
      <c r="D275" t="s">
        <v>254</v>
      </c>
      <c r="E275" t="s">
        <v>668</v>
      </c>
      <c r="F275" t="s">
        <v>23</v>
      </c>
      <c r="G275" t="s">
        <v>64</v>
      </c>
      <c r="H275" t="s">
        <v>65</v>
      </c>
      <c r="I275" t="s">
        <v>57</v>
      </c>
      <c r="J275" t="s">
        <v>27</v>
      </c>
      <c r="K275" t="s">
        <v>116</v>
      </c>
      <c r="L275" t="s">
        <v>117</v>
      </c>
      <c r="M275" t="s">
        <v>118</v>
      </c>
      <c r="N275">
        <v>2</v>
      </c>
      <c r="O275">
        <v>25200</v>
      </c>
      <c r="P275">
        <v>0.1</v>
      </c>
      <c r="Q275">
        <v>45360</v>
      </c>
      <c r="R275">
        <v>25484.799999999999</v>
      </c>
      <c r="S275">
        <v>19875.2</v>
      </c>
      <c r="T275" t="s">
        <v>60</v>
      </c>
      <c r="U275" t="str">
        <f t="shared" si="12"/>
        <v>2023-02</v>
      </c>
      <c r="V275">
        <f t="shared" si="13"/>
        <v>1</v>
      </c>
      <c r="W275" s="2">
        <f t="shared" si="14"/>
        <v>0.4381657848324515</v>
      </c>
    </row>
    <row r="276" spans="1:23">
      <c r="A276" t="s">
        <v>761</v>
      </c>
      <c r="B276" s="1">
        <v>45133</v>
      </c>
      <c r="C276" s="1">
        <v>45139</v>
      </c>
      <c r="D276" t="s">
        <v>228</v>
      </c>
      <c r="E276" t="s">
        <v>422</v>
      </c>
      <c r="F276" t="s">
        <v>35</v>
      </c>
      <c r="G276" t="s">
        <v>55</v>
      </c>
      <c r="H276" t="s">
        <v>56</v>
      </c>
      <c r="I276" t="s">
        <v>57</v>
      </c>
      <c r="J276" t="s">
        <v>36</v>
      </c>
      <c r="K276" t="s">
        <v>37</v>
      </c>
      <c r="L276" t="s">
        <v>38</v>
      </c>
      <c r="M276" t="s">
        <v>39</v>
      </c>
      <c r="N276">
        <v>5</v>
      </c>
      <c r="O276">
        <v>904600</v>
      </c>
      <c r="P276">
        <v>0.15</v>
      </c>
      <c r="Q276">
        <v>3844550</v>
      </c>
      <c r="R276">
        <v>2968932.19</v>
      </c>
      <c r="S276">
        <v>875617.81</v>
      </c>
      <c r="T276" t="s">
        <v>40</v>
      </c>
      <c r="U276" t="str">
        <f t="shared" si="12"/>
        <v>2023-07</v>
      </c>
      <c r="V276">
        <f t="shared" si="13"/>
        <v>6</v>
      </c>
      <c r="W276" s="2">
        <f t="shared" si="14"/>
        <v>0.22775560468715456</v>
      </c>
    </row>
    <row r="277" spans="1:23">
      <c r="A277" t="s">
        <v>762</v>
      </c>
      <c r="B277" s="1">
        <v>45946</v>
      </c>
      <c r="C277" s="1">
        <v>45948</v>
      </c>
      <c r="D277" t="s">
        <v>763</v>
      </c>
      <c r="E277" t="s">
        <v>764</v>
      </c>
      <c r="F277" t="s">
        <v>54</v>
      </c>
      <c r="G277" t="s">
        <v>87</v>
      </c>
      <c r="H277" t="s">
        <v>88</v>
      </c>
      <c r="I277" t="s">
        <v>46</v>
      </c>
      <c r="J277" t="s">
        <v>36</v>
      </c>
      <c r="K277" t="s">
        <v>89</v>
      </c>
      <c r="L277" t="s">
        <v>151</v>
      </c>
      <c r="M277" t="s">
        <v>152</v>
      </c>
      <c r="N277">
        <v>3</v>
      </c>
      <c r="O277">
        <v>1206200</v>
      </c>
      <c r="P277">
        <v>0</v>
      </c>
      <c r="Q277">
        <v>3618600</v>
      </c>
      <c r="R277">
        <v>2459680.0099999998</v>
      </c>
      <c r="S277">
        <v>1158919.99</v>
      </c>
      <c r="T277" t="s">
        <v>60</v>
      </c>
      <c r="U277" t="str">
        <f t="shared" si="12"/>
        <v>2025-10</v>
      </c>
      <c r="V277">
        <f t="shared" si="13"/>
        <v>2</v>
      </c>
      <c r="W277" s="2">
        <f t="shared" si="14"/>
        <v>0.32026750400707454</v>
      </c>
    </row>
    <row r="278" spans="1:23">
      <c r="A278" t="s">
        <v>765</v>
      </c>
      <c r="B278" s="1">
        <v>45911</v>
      </c>
      <c r="C278" s="1">
        <v>45914</v>
      </c>
      <c r="D278" t="s">
        <v>302</v>
      </c>
      <c r="E278" t="s">
        <v>766</v>
      </c>
      <c r="F278" t="s">
        <v>54</v>
      </c>
      <c r="G278" t="s">
        <v>44</v>
      </c>
      <c r="H278" t="s">
        <v>45</v>
      </c>
      <c r="I278" t="s">
        <v>46</v>
      </c>
      <c r="J278" t="s">
        <v>47</v>
      </c>
      <c r="K278" t="s">
        <v>142</v>
      </c>
      <c r="L278" t="s">
        <v>158</v>
      </c>
      <c r="M278" t="s">
        <v>159</v>
      </c>
      <c r="N278">
        <v>1</v>
      </c>
      <c r="O278">
        <v>7542500</v>
      </c>
      <c r="P278">
        <v>0.05</v>
      </c>
      <c r="Q278">
        <v>7165375</v>
      </c>
      <c r="R278">
        <v>6142380.8300000001</v>
      </c>
      <c r="S278">
        <v>1022994.17</v>
      </c>
      <c r="T278" t="s">
        <v>40</v>
      </c>
      <c r="U278" t="str">
        <f t="shared" si="12"/>
        <v>2025-09</v>
      </c>
      <c r="V278">
        <f t="shared" si="13"/>
        <v>3</v>
      </c>
      <c r="W278" s="2">
        <f t="shared" si="14"/>
        <v>0.14276910419901262</v>
      </c>
    </row>
    <row r="279" spans="1:23">
      <c r="A279" t="s">
        <v>767</v>
      </c>
      <c r="B279" s="1">
        <v>45400</v>
      </c>
      <c r="C279" s="1">
        <v>45404</v>
      </c>
      <c r="D279" t="s">
        <v>464</v>
      </c>
      <c r="E279" t="s">
        <v>768</v>
      </c>
      <c r="F279" t="s">
        <v>23</v>
      </c>
      <c r="G279" t="s">
        <v>95</v>
      </c>
      <c r="H279" t="s">
        <v>96</v>
      </c>
      <c r="I279" t="s">
        <v>26</v>
      </c>
      <c r="J279" t="s">
        <v>27</v>
      </c>
      <c r="K279" t="s">
        <v>179</v>
      </c>
      <c r="L279" t="s">
        <v>244</v>
      </c>
      <c r="M279" t="s">
        <v>245</v>
      </c>
      <c r="N279">
        <v>5</v>
      </c>
      <c r="O279">
        <v>41500</v>
      </c>
      <c r="P279">
        <v>0.2</v>
      </c>
      <c r="Q279">
        <v>166000</v>
      </c>
      <c r="R279">
        <v>103420.9</v>
      </c>
      <c r="S279">
        <v>62579.1</v>
      </c>
      <c r="T279" t="s">
        <v>31</v>
      </c>
      <c r="U279" t="str">
        <f t="shared" si="12"/>
        <v>2024-04</v>
      </c>
      <c r="V279">
        <f t="shared" si="13"/>
        <v>4</v>
      </c>
      <c r="W279" s="2">
        <f t="shared" si="14"/>
        <v>0.37698253012048194</v>
      </c>
    </row>
    <row r="280" spans="1:23">
      <c r="A280" t="s">
        <v>769</v>
      </c>
      <c r="B280" s="1">
        <v>45164</v>
      </c>
      <c r="C280" s="1">
        <v>45165</v>
      </c>
      <c r="D280" t="s">
        <v>701</v>
      </c>
      <c r="E280" t="s">
        <v>358</v>
      </c>
      <c r="F280" t="s">
        <v>54</v>
      </c>
      <c r="G280" t="s">
        <v>140</v>
      </c>
      <c r="H280" t="s">
        <v>141</v>
      </c>
      <c r="I280" t="s">
        <v>46</v>
      </c>
      <c r="J280" t="s">
        <v>27</v>
      </c>
      <c r="K280" t="s">
        <v>100</v>
      </c>
      <c r="L280" t="s">
        <v>101</v>
      </c>
      <c r="M280" t="s">
        <v>102</v>
      </c>
      <c r="N280">
        <v>2</v>
      </c>
      <c r="O280">
        <v>63600</v>
      </c>
      <c r="P280">
        <v>0.25</v>
      </c>
      <c r="Q280">
        <v>95400</v>
      </c>
      <c r="R280">
        <v>68902.22</v>
      </c>
      <c r="S280">
        <v>26497.78</v>
      </c>
      <c r="T280" t="s">
        <v>73</v>
      </c>
      <c r="U280" t="str">
        <f t="shared" si="12"/>
        <v>2023-08</v>
      </c>
      <c r="V280">
        <f t="shared" si="13"/>
        <v>1</v>
      </c>
      <c r="W280" s="2">
        <f t="shared" si="14"/>
        <v>0.27775450733752621</v>
      </c>
    </row>
    <row r="281" spans="1:23">
      <c r="A281" t="s">
        <v>770</v>
      </c>
      <c r="B281" s="1">
        <v>45628</v>
      </c>
      <c r="C281" s="1">
        <v>45630</v>
      </c>
      <c r="D281" t="s">
        <v>577</v>
      </c>
      <c r="E281" t="s">
        <v>771</v>
      </c>
      <c r="F281" t="s">
        <v>23</v>
      </c>
      <c r="G281" t="s">
        <v>64</v>
      </c>
      <c r="H281" t="s">
        <v>65</v>
      </c>
      <c r="I281" t="s">
        <v>57</v>
      </c>
      <c r="J281" t="s">
        <v>47</v>
      </c>
      <c r="K281" t="s">
        <v>48</v>
      </c>
      <c r="L281" t="s">
        <v>225</v>
      </c>
      <c r="M281" t="s">
        <v>226</v>
      </c>
      <c r="N281">
        <v>3</v>
      </c>
      <c r="O281">
        <v>231200</v>
      </c>
      <c r="P281">
        <v>0.05</v>
      </c>
      <c r="Q281">
        <v>658920</v>
      </c>
      <c r="R281">
        <v>443292.01</v>
      </c>
      <c r="S281">
        <v>215627.99</v>
      </c>
      <c r="T281" t="s">
        <v>40</v>
      </c>
      <c r="U281" t="str">
        <f t="shared" si="12"/>
        <v>2024-12</v>
      </c>
      <c r="V281">
        <f t="shared" si="13"/>
        <v>2</v>
      </c>
      <c r="W281" s="2">
        <f t="shared" si="14"/>
        <v>0.32724456686699444</v>
      </c>
    </row>
    <row r="282" spans="1:23">
      <c r="A282" t="s">
        <v>772</v>
      </c>
      <c r="B282" s="1">
        <v>45047</v>
      </c>
      <c r="C282" s="1">
        <v>45054</v>
      </c>
      <c r="D282" t="s">
        <v>773</v>
      </c>
      <c r="E282" t="s">
        <v>291</v>
      </c>
      <c r="F282" t="s">
        <v>23</v>
      </c>
      <c r="G282" t="s">
        <v>55</v>
      </c>
      <c r="H282" t="s">
        <v>56</v>
      </c>
      <c r="I282" t="s">
        <v>57</v>
      </c>
      <c r="J282" t="s">
        <v>47</v>
      </c>
      <c r="K282" t="s">
        <v>48</v>
      </c>
      <c r="L282" t="s">
        <v>225</v>
      </c>
      <c r="M282" t="s">
        <v>226</v>
      </c>
      <c r="N282">
        <v>1</v>
      </c>
      <c r="O282">
        <v>226200</v>
      </c>
      <c r="P282">
        <v>0.05</v>
      </c>
      <c r="Q282">
        <v>214890</v>
      </c>
      <c r="R282">
        <v>129442.42</v>
      </c>
      <c r="S282">
        <v>85447.58</v>
      </c>
      <c r="T282" t="s">
        <v>40</v>
      </c>
      <c r="U282" t="str">
        <f t="shared" si="12"/>
        <v>2023-05</v>
      </c>
      <c r="V282">
        <f t="shared" si="13"/>
        <v>7</v>
      </c>
      <c r="W282" s="2">
        <f t="shared" si="14"/>
        <v>0.39763404532551538</v>
      </c>
    </row>
    <row r="283" spans="1:23">
      <c r="A283" t="s">
        <v>774</v>
      </c>
      <c r="B283" s="1">
        <v>45926</v>
      </c>
      <c r="C283" s="1">
        <v>45927</v>
      </c>
      <c r="D283" t="s">
        <v>775</v>
      </c>
      <c r="E283" t="s">
        <v>776</v>
      </c>
      <c r="F283" t="s">
        <v>23</v>
      </c>
      <c r="G283" t="s">
        <v>140</v>
      </c>
      <c r="H283" t="s">
        <v>141</v>
      </c>
      <c r="I283" t="s">
        <v>46</v>
      </c>
      <c r="J283" t="s">
        <v>27</v>
      </c>
      <c r="K283" t="s">
        <v>116</v>
      </c>
      <c r="L283" t="s">
        <v>207</v>
      </c>
      <c r="M283" t="s">
        <v>208</v>
      </c>
      <c r="N283">
        <v>1</v>
      </c>
      <c r="O283">
        <v>125500</v>
      </c>
      <c r="P283">
        <v>0.1</v>
      </c>
      <c r="Q283">
        <v>112950</v>
      </c>
      <c r="R283">
        <v>74873.62</v>
      </c>
      <c r="S283">
        <v>38076.379999999997</v>
      </c>
      <c r="T283" t="s">
        <v>60</v>
      </c>
      <c r="U283" t="str">
        <f t="shared" si="12"/>
        <v>2025-09</v>
      </c>
      <c r="V283">
        <f t="shared" si="13"/>
        <v>1</v>
      </c>
      <c r="W283" s="2">
        <f t="shared" si="14"/>
        <v>0.33710827799911464</v>
      </c>
    </row>
    <row r="284" spans="1:23">
      <c r="A284" t="s">
        <v>777</v>
      </c>
      <c r="B284" s="1">
        <v>45619</v>
      </c>
      <c r="C284" s="1">
        <v>45624</v>
      </c>
      <c r="D284" t="s">
        <v>260</v>
      </c>
      <c r="E284" t="s">
        <v>778</v>
      </c>
      <c r="F284" t="s">
        <v>23</v>
      </c>
      <c r="G284" t="s">
        <v>55</v>
      </c>
      <c r="H284" t="s">
        <v>56</v>
      </c>
      <c r="I284" t="s">
        <v>57</v>
      </c>
      <c r="J284" t="s">
        <v>36</v>
      </c>
      <c r="K284" t="s">
        <v>37</v>
      </c>
      <c r="L284" t="s">
        <v>58</v>
      </c>
      <c r="M284" t="s">
        <v>59</v>
      </c>
      <c r="N284">
        <v>2</v>
      </c>
      <c r="O284">
        <v>910000</v>
      </c>
      <c r="P284">
        <v>0.1</v>
      </c>
      <c r="Q284">
        <v>1638000</v>
      </c>
      <c r="R284">
        <v>1146711.57</v>
      </c>
      <c r="S284">
        <v>491288.43</v>
      </c>
      <c r="T284" t="s">
        <v>73</v>
      </c>
      <c r="U284" t="str">
        <f t="shared" si="12"/>
        <v>2024-11</v>
      </c>
      <c r="V284">
        <f t="shared" si="13"/>
        <v>5</v>
      </c>
      <c r="W284" s="2">
        <f t="shared" si="14"/>
        <v>0.29993188644688645</v>
      </c>
    </row>
    <row r="285" spans="1:23">
      <c r="A285" t="s">
        <v>779</v>
      </c>
      <c r="B285" s="1">
        <v>45248</v>
      </c>
      <c r="C285" s="1">
        <v>45253</v>
      </c>
      <c r="D285" t="s">
        <v>520</v>
      </c>
      <c r="E285" t="s">
        <v>780</v>
      </c>
      <c r="F285" t="s">
        <v>23</v>
      </c>
      <c r="G285" t="s">
        <v>80</v>
      </c>
      <c r="H285" t="s">
        <v>45</v>
      </c>
      <c r="I285" t="s">
        <v>46</v>
      </c>
      <c r="J285" t="s">
        <v>27</v>
      </c>
      <c r="K285" t="s">
        <v>116</v>
      </c>
      <c r="L285" t="s">
        <v>207</v>
      </c>
      <c r="M285" t="s">
        <v>208</v>
      </c>
      <c r="N285">
        <v>2</v>
      </c>
      <c r="O285">
        <v>111900</v>
      </c>
      <c r="P285">
        <v>0</v>
      </c>
      <c r="Q285">
        <v>223800</v>
      </c>
      <c r="R285">
        <v>129594.4</v>
      </c>
      <c r="S285">
        <v>94205.6</v>
      </c>
      <c r="T285" t="s">
        <v>40</v>
      </c>
      <c r="U285" t="str">
        <f t="shared" si="12"/>
        <v>2023-11</v>
      </c>
      <c r="V285">
        <f t="shared" si="13"/>
        <v>5</v>
      </c>
      <c r="W285" s="2">
        <f t="shared" si="14"/>
        <v>0.4209365504915103</v>
      </c>
    </row>
    <row r="286" spans="1:23">
      <c r="A286" t="s">
        <v>781</v>
      </c>
      <c r="B286" s="1">
        <v>45408</v>
      </c>
      <c r="C286" s="1">
        <v>45409</v>
      </c>
      <c r="D286" t="s">
        <v>405</v>
      </c>
      <c r="E286" t="s">
        <v>363</v>
      </c>
      <c r="F286" t="s">
        <v>23</v>
      </c>
      <c r="G286" t="s">
        <v>64</v>
      </c>
      <c r="H286" t="s">
        <v>65</v>
      </c>
      <c r="I286" t="s">
        <v>57</v>
      </c>
      <c r="J286" t="s">
        <v>36</v>
      </c>
      <c r="K286" t="s">
        <v>37</v>
      </c>
      <c r="L286" t="s">
        <v>38</v>
      </c>
      <c r="M286" t="s">
        <v>39</v>
      </c>
      <c r="N286">
        <v>2</v>
      </c>
      <c r="O286">
        <v>907600</v>
      </c>
      <c r="P286">
        <v>0.05</v>
      </c>
      <c r="Q286">
        <v>1724440</v>
      </c>
      <c r="R286">
        <v>1277461.8400000001</v>
      </c>
      <c r="S286">
        <v>446978.16</v>
      </c>
      <c r="T286" t="s">
        <v>40</v>
      </c>
      <c r="U286" t="str">
        <f t="shared" si="12"/>
        <v>2024-04</v>
      </c>
      <c r="V286">
        <f t="shared" si="13"/>
        <v>1</v>
      </c>
      <c r="W286" s="2">
        <f t="shared" si="14"/>
        <v>0.25920192062350672</v>
      </c>
    </row>
    <row r="287" spans="1:23">
      <c r="A287" t="s">
        <v>782</v>
      </c>
      <c r="B287" s="1">
        <v>45000</v>
      </c>
      <c r="C287" s="1">
        <v>45005</v>
      </c>
      <c r="D287" t="s">
        <v>85</v>
      </c>
      <c r="E287" t="s">
        <v>358</v>
      </c>
      <c r="F287" t="s">
        <v>54</v>
      </c>
      <c r="G287" t="s">
        <v>55</v>
      </c>
      <c r="H287" t="s">
        <v>56</v>
      </c>
      <c r="I287" t="s">
        <v>57</v>
      </c>
      <c r="J287" t="s">
        <v>36</v>
      </c>
      <c r="K287" t="s">
        <v>81</v>
      </c>
      <c r="L287" t="s">
        <v>215</v>
      </c>
      <c r="M287" t="s">
        <v>216</v>
      </c>
      <c r="N287">
        <v>6</v>
      </c>
      <c r="O287">
        <v>1791500</v>
      </c>
      <c r="P287">
        <v>0.1</v>
      </c>
      <c r="Q287">
        <v>9674100</v>
      </c>
      <c r="R287">
        <v>7160367.2400000002</v>
      </c>
      <c r="S287">
        <v>2513732.7599999998</v>
      </c>
      <c r="T287" t="s">
        <v>60</v>
      </c>
      <c r="U287" t="str">
        <f t="shared" si="12"/>
        <v>2023-03</v>
      </c>
      <c r="V287">
        <f t="shared" si="13"/>
        <v>5</v>
      </c>
      <c r="W287" s="2">
        <f t="shared" si="14"/>
        <v>0.25984151083821749</v>
      </c>
    </row>
    <row r="288" spans="1:23">
      <c r="A288" t="s">
        <v>783</v>
      </c>
      <c r="B288" s="1">
        <v>45038</v>
      </c>
      <c r="C288" s="1">
        <v>45045</v>
      </c>
      <c r="D288" t="s">
        <v>784</v>
      </c>
      <c r="E288" t="s">
        <v>720</v>
      </c>
      <c r="F288" t="s">
        <v>35</v>
      </c>
      <c r="G288" t="s">
        <v>156</v>
      </c>
      <c r="H288" t="s">
        <v>157</v>
      </c>
      <c r="I288" t="s">
        <v>57</v>
      </c>
      <c r="J288" t="s">
        <v>47</v>
      </c>
      <c r="K288" t="s">
        <v>128</v>
      </c>
      <c r="L288" t="s">
        <v>129</v>
      </c>
      <c r="M288" t="s">
        <v>130</v>
      </c>
      <c r="N288">
        <v>4</v>
      </c>
      <c r="O288">
        <v>1420900</v>
      </c>
      <c r="P288">
        <v>0.05</v>
      </c>
      <c r="Q288">
        <v>5399420</v>
      </c>
      <c r="R288">
        <v>3939417.43</v>
      </c>
      <c r="S288">
        <v>1460002.57</v>
      </c>
      <c r="T288" t="s">
        <v>40</v>
      </c>
      <c r="U288" t="str">
        <f t="shared" si="12"/>
        <v>2023-04</v>
      </c>
      <c r="V288">
        <f t="shared" si="13"/>
        <v>7</v>
      </c>
      <c r="W288" s="2">
        <f t="shared" si="14"/>
        <v>0.27039988924736363</v>
      </c>
    </row>
    <row r="289" spans="1:23">
      <c r="A289" t="s">
        <v>785</v>
      </c>
      <c r="B289" s="1">
        <v>45654</v>
      </c>
      <c r="C289" s="1">
        <v>45661</v>
      </c>
      <c r="D289" t="s">
        <v>786</v>
      </c>
      <c r="E289" t="s">
        <v>86</v>
      </c>
      <c r="F289" t="s">
        <v>35</v>
      </c>
      <c r="G289" t="s">
        <v>87</v>
      </c>
      <c r="H289" t="s">
        <v>88</v>
      </c>
      <c r="I289" t="s">
        <v>46</v>
      </c>
      <c r="J289" t="s">
        <v>27</v>
      </c>
      <c r="K289" t="s">
        <v>179</v>
      </c>
      <c r="L289" t="s">
        <v>244</v>
      </c>
      <c r="M289" t="s">
        <v>245</v>
      </c>
      <c r="N289">
        <v>1</v>
      </c>
      <c r="O289">
        <v>35600</v>
      </c>
      <c r="P289">
        <v>0</v>
      </c>
      <c r="Q289">
        <v>35600</v>
      </c>
      <c r="R289">
        <v>18568.810000000001</v>
      </c>
      <c r="S289">
        <v>17031.189999999999</v>
      </c>
      <c r="T289" t="s">
        <v>31</v>
      </c>
      <c r="U289" t="str">
        <f t="shared" si="12"/>
        <v>2024-12</v>
      </c>
      <c r="V289">
        <f t="shared" si="13"/>
        <v>7</v>
      </c>
      <c r="W289" s="2">
        <f t="shared" si="14"/>
        <v>0.47840421348314605</v>
      </c>
    </row>
    <row r="290" spans="1:23">
      <c r="A290" t="s">
        <v>787</v>
      </c>
      <c r="B290" s="1">
        <v>45328</v>
      </c>
      <c r="C290" s="1">
        <v>45330</v>
      </c>
      <c r="D290" t="s">
        <v>788</v>
      </c>
      <c r="E290" t="s">
        <v>789</v>
      </c>
      <c r="F290" t="s">
        <v>23</v>
      </c>
      <c r="G290" t="s">
        <v>24</v>
      </c>
      <c r="H290" t="s">
        <v>25</v>
      </c>
      <c r="I290" t="s">
        <v>26</v>
      </c>
      <c r="J290" t="s">
        <v>47</v>
      </c>
      <c r="K290" t="s">
        <v>48</v>
      </c>
      <c r="L290" t="s">
        <v>225</v>
      </c>
      <c r="M290" t="s">
        <v>226</v>
      </c>
      <c r="N290">
        <v>4</v>
      </c>
      <c r="O290">
        <v>212500</v>
      </c>
      <c r="P290">
        <v>0.05</v>
      </c>
      <c r="Q290">
        <v>807500</v>
      </c>
      <c r="R290">
        <v>545935.34</v>
      </c>
      <c r="S290">
        <v>261564.66</v>
      </c>
      <c r="T290" t="s">
        <v>73</v>
      </c>
      <c r="U290" t="str">
        <f t="shared" si="12"/>
        <v>2024-02</v>
      </c>
      <c r="V290">
        <f t="shared" si="13"/>
        <v>2</v>
      </c>
      <c r="W290" s="2">
        <f t="shared" si="14"/>
        <v>0.32391908359133126</v>
      </c>
    </row>
    <row r="291" spans="1:23">
      <c r="A291" t="s">
        <v>790</v>
      </c>
      <c r="B291" s="1">
        <v>45849</v>
      </c>
      <c r="C291" s="1">
        <v>45853</v>
      </c>
      <c r="D291" t="s">
        <v>690</v>
      </c>
      <c r="E291" t="s">
        <v>791</v>
      </c>
      <c r="F291" t="s">
        <v>23</v>
      </c>
      <c r="G291" t="s">
        <v>64</v>
      </c>
      <c r="H291" t="s">
        <v>65</v>
      </c>
      <c r="I291" t="s">
        <v>57</v>
      </c>
      <c r="J291" t="s">
        <v>27</v>
      </c>
      <c r="K291" t="s">
        <v>28</v>
      </c>
      <c r="L291" t="s">
        <v>71</v>
      </c>
      <c r="M291" t="s">
        <v>72</v>
      </c>
      <c r="N291">
        <v>3</v>
      </c>
      <c r="O291">
        <v>44800</v>
      </c>
      <c r="P291">
        <v>0.1</v>
      </c>
      <c r="Q291">
        <v>120960</v>
      </c>
      <c r="R291">
        <v>74791.92</v>
      </c>
      <c r="S291">
        <v>46168.08</v>
      </c>
      <c r="T291" t="s">
        <v>31</v>
      </c>
      <c r="U291" t="str">
        <f t="shared" si="12"/>
        <v>2025-07</v>
      </c>
      <c r="V291">
        <f t="shared" si="13"/>
        <v>4</v>
      </c>
      <c r="W291" s="2">
        <f t="shared" si="14"/>
        <v>0.38168055555555558</v>
      </c>
    </row>
    <row r="292" spans="1:23">
      <c r="A292" t="s">
        <v>792</v>
      </c>
      <c r="B292" s="1">
        <v>45282</v>
      </c>
      <c r="C292" s="1">
        <v>45288</v>
      </c>
      <c r="D292" t="s">
        <v>751</v>
      </c>
      <c r="E292" t="s">
        <v>680</v>
      </c>
      <c r="F292" t="s">
        <v>35</v>
      </c>
      <c r="G292" t="s">
        <v>169</v>
      </c>
      <c r="H292" t="s">
        <v>157</v>
      </c>
      <c r="I292" t="s">
        <v>57</v>
      </c>
      <c r="J292" t="s">
        <v>27</v>
      </c>
      <c r="K292" t="s">
        <v>100</v>
      </c>
      <c r="L292" t="s">
        <v>105</v>
      </c>
      <c r="M292" t="s">
        <v>106</v>
      </c>
      <c r="N292">
        <v>2</v>
      </c>
      <c r="O292">
        <v>74800</v>
      </c>
      <c r="P292">
        <v>0.3</v>
      </c>
      <c r="Q292">
        <v>104720</v>
      </c>
      <c r="R292">
        <v>92760.92</v>
      </c>
      <c r="S292">
        <v>11959.08</v>
      </c>
      <c r="T292" t="s">
        <v>60</v>
      </c>
      <c r="U292" t="str">
        <f t="shared" si="12"/>
        <v>2023-12</v>
      </c>
      <c r="V292">
        <f t="shared" si="13"/>
        <v>6</v>
      </c>
      <c r="W292" s="2">
        <f t="shared" si="14"/>
        <v>0.11420053475935829</v>
      </c>
    </row>
    <row r="293" spans="1:23">
      <c r="A293" t="s">
        <v>793</v>
      </c>
      <c r="B293" s="1">
        <v>45629</v>
      </c>
      <c r="C293" s="1">
        <v>45632</v>
      </c>
      <c r="D293" t="s">
        <v>794</v>
      </c>
      <c r="E293" t="s">
        <v>795</v>
      </c>
      <c r="F293" t="s">
        <v>23</v>
      </c>
      <c r="G293" t="s">
        <v>80</v>
      </c>
      <c r="H293" t="s">
        <v>45</v>
      </c>
      <c r="I293" t="s">
        <v>46</v>
      </c>
      <c r="J293" t="s">
        <v>36</v>
      </c>
      <c r="K293" t="s">
        <v>81</v>
      </c>
      <c r="L293" t="s">
        <v>82</v>
      </c>
      <c r="M293" t="s">
        <v>83</v>
      </c>
      <c r="N293">
        <v>5</v>
      </c>
      <c r="O293">
        <v>663300</v>
      </c>
      <c r="P293">
        <v>0</v>
      </c>
      <c r="Q293">
        <v>3316500</v>
      </c>
      <c r="R293">
        <v>2219744.4300000002</v>
      </c>
      <c r="S293">
        <v>1096755.57</v>
      </c>
      <c r="T293" t="s">
        <v>60</v>
      </c>
      <c r="U293" t="str">
        <f t="shared" si="12"/>
        <v>2024-12</v>
      </c>
      <c r="V293">
        <f t="shared" si="13"/>
        <v>3</v>
      </c>
      <c r="W293" s="2">
        <f t="shared" si="14"/>
        <v>0.33069668928086843</v>
      </c>
    </row>
    <row r="294" spans="1:23">
      <c r="A294" t="s">
        <v>796</v>
      </c>
      <c r="B294" s="1">
        <v>45522</v>
      </c>
      <c r="C294" s="1">
        <v>45528</v>
      </c>
      <c r="D294" t="s">
        <v>380</v>
      </c>
      <c r="E294" t="s">
        <v>797</v>
      </c>
      <c r="F294" t="s">
        <v>54</v>
      </c>
      <c r="G294" t="s">
        <v>80</v>
      </c>
      <c r="H294" t="s">
        <v>45</v>
      </c>
      <c r="I294" t="s">
        <v>46</v>
      </c>
      <c r="J294" t="s">
        <v>36</v>
      </c>
      <c r="K294" t="s">
        <v>37</v>
      </c>
      <c r="L294" t="s">
        <v>58</v>
      </c>
      <c r="M294" t="s">
        <v>59</v>
      </c>
      <c r="N294">
        <v>2</v>
      </c>
      <c r="O294">
        <v>915900</v>
      </c>
      <c r="P294">
        <v>0.05</v>
      </c>
      <c r="Q294">
        <v>1740210</v>
      </c>
      <c r="R294">
        <v>1148999.74</v>
      </c>
      <c r="S294">
        <v>591210.26</v>
      </c>
      <c r="T294" t="s">
        <v>73</v>
      </c>
      <c r="U294" t="str">
        <f t="shared" si="12"/>
        <v>2024-08</v>
      </c>
      <c r="V294">
        <f t="shared" si="13"/>
        <v>6</v>
      </c>
      <c r="W294" s="2">
        <f t="shared" si="14"/>
        <v>0.3397350089931675</v>
      </c>
    </row>
    <row r="295" spans="1:23">
      <c r="A295" t="s">
        <v>798</v>
      </c>
      <c r="B295" s="1">
        <v>45781</v>
      </c>
      <c r="C295" s="1">
        <v>45787</v>
      </c>
      <c r="D295" t="s">
        <v>799</v>
      </c>
      <c r="E295" t="s">
        <v>645</v>
      </c>
      <c r="F295" t="s">
        <v>35</v>
      </c>
      <c r="G295" t="s">
        <v>169</v>
      </c>
      <c r="H295" t="s">
        <v>157</v>
      </c>
      <c r="I295" t="s">
        <v>57</v>
      </c>
      <c r="J295" t="s">
        <v>27</v>
      </c>
      <c r="K295" t="s">
        <v>179</v>
      </c>
      <c r="L295" t="s">
        <v>244</v>
      </c>
      <c r="M295" t="s">
        <v>245</v>
      </c>
      <c r="N295">
        <v>1</v>
      </c>
      <c r="O295">
        <v>35400</v>
      </c>
      <c r="P295">
        <v>0.1</v>
      </c>
      <c r="Q295">
        <v>31860</v>
      </c>
      <c r="R295">
        <v>17274.98</v>
      </c>
      <c r="S295">
        <v>14585.02</v>
      </c>
      <c r="T295" t="s">
        <v>31</v>
      </c>
      <c r="U295" t="str">
        <f t="shared" si="12"/>
        <v>2025-05</v>
      </c>
      <c r="V295">
        <f t="shared" si="13"/>
        <v>6</v>
      </c>
      <c r="W295" s="2">
        <f t="shared" si="14"/>
        <v>0.45778468298807284</v>
      </c>
    </row>
    <row r="296" spans="1:23">
      <c r="A296" t="s">
        <v>800</v>
      </c>
      <c r="B296" s="1">
        <v>45440</v>
      </c>
      <c r="C296" s="1">
        <v>45442</v>
      </c>
      <c r="D296" t="s">
        <v>775</v>
      </c>
      <c r="E296" t="s">
        <v>801</v>
      </c>
      <c r="F296" t="s">
        <v>35</v>
      </c>
      <c r="G296" t="s">
        <v>24</v>
      </c>
      <c r="H296" t="s">
        <v>25</v>
      </c>
      <c r="I296" t="s">
        <v>26</v>
      </c>
      <c r="J296" t="s">
        <v>27</v>
      </c>
      <c r="K296" t="s">
        <v>179</v>
      </c>
      <c r="L296" t="s">
        <v>244</v>
      </c>
      <c r="M296" t="s">
        <v>245</v>
      </c>
      <c r="N296">
        <v>2</v>
      </c>
      <c r="O296">
        <v>38000</v>
      </c>
      <c r="P296">
        <v>0.1</v>
      </c>
      <c r="Q296">
        <v>68400</v>
      </c>
      <c r="R296">
        <v>39437.1</v>
      </c>
      <c r="S296">
        <v>28962.9</v>
      </c>
      <c r="T296" t="s">
        <v>31</v>
      </c>
      <c r="U296" t="str">
        <f t="shared" si="12"/>
        <v>2024-05</v>
      </c>
      <c r="V296">
        <f t="shared" si="13"/>
        <v>2</v>
      </c>
      <c r="W296" s="2">
        <f t="shared" si="14"/>
        <v>0.4234342105263158</v>
      </c>
    </row>
    <row r="297" spans="1:23">
      <c r="A297" t="s">
        <v>802</v>
      </c>
      <c r="B297" s="1">
        <v>45723</v>
      </c>
      <c r="C297" s="1">
        <v>45725</v>
      </c>
      <c r="D297" t="s">
        <v>464</v>
      </c>
      <c r="E297" t="s">
        <v>518</v>
      </c>
      <c r="F297" t="s">
        <v>35</v>
      </c>
      <c r="G297" t="s">
        <v>95</v>
      </c>
      <c r="H297" t="s">
        <v>96</v>
      </c>
      <c r="I297" t="s">
        <v>26</v>
      </c>
      <c r="J297" t="s">
        <v>36</v>
      </c>
      <c r="K297" t="s">
        <v>37</v>
      </c>
      <c r="L297" t="s">
        <v>58</v>
      </c>
      <c r="M297" t="s">
        <v>59</v>
      </c>
      <c r="N297">
        <v>6</v>
      </c>
      <c r="O297">
        <v>857200</v>
      </c>
      <c r="P297">
        <v>0.25</v>
      </c>
      <c r="Q297">
        <v>3857400</v>
      </c>
      <c r="R297">
        <v>3600018.95</v>
      </c>
      <c r="S297">
        <v>257381.05</v>
      </c>
      <c r="T297" t="s">
        <v>31</v>
      </c>
      <c r="U297" t="str">
        <f t="shared" si="12"/>
        <v>2025-03</v>
      </c>
      <c r="V297">
        <f t="shared" si="13"/>
        <v>2</v>
      </c>
      <c r="W297" s="2">
        <f t="shared" si="14"/>
        <v>6.6723972105563328E-2</v>
      </c>
    </row>
    <row r="298" spans="1:23">
      <c r="A298" t="s">
        <v>803</v>
      </c>
      <c r="B298" s="1">
        <v>44953</v>
      </c>
      <c r="C298" s="1">
        <v>44959</v>
      </c>
      <c r="D298" t="s">
        <v>195</v>
      </c>
      <c r="E298" t="s">
        <v>524</v>
      </c>
      <c r="F298" t="s">
        <v>54</v>
      </c>
      <c r="G298" t="s">
        <v>24</v>
      </c>
      <c r="H298" t="s">
        <v>25</v>
      </c>
      <c r="I298" t="s">
        <v>26</v>
      </c>
      <c r="J298" t="s">
        <v>47</v>
      </c>
      <c r="K298" t="s">
        <v>128</v>
      </c>
      <c r="L298" t="s">
        <v>129</v>
      </c>
      <c r="M298" t="s">
        <v>130</v>
      </c>
      <c r="N298">
        <v>4</v>
      </c>
      <c r="O298">
        <v>1479400</v>
      </c>
      <c r="P298">
        <v>0.1</v>
      </c>
      <c r="Q298">
        <v>5325840</v>
      </c>
      <c r="R298">
        <v>4477536.2699999996</v>
      </c>
      <c r="S298">
        <v>848303.73</v>
      </c>
      <c r="T298" t="s">
        <v>60</v>
      </c>
      <c r="U298" t="str">
        <f t="shared" si="12"/>
        <v>2023-01</v>
      </c>
      <c r="V298">
        <f t="shared" si="13"/>
        <v>6</v>
      </c>
      <c r="W298" s="2">
        <f t="shared" si="14"/>
        <v>0.15928073881303231</v>
      </c>
    </row>
    <row r="299" spans="1:23">
      <c r="A299" t="s">
        <v>804</v>
      </c>
      <c r="B299" s="1">
        <v>45290</v>
      </c>
      <c r="C299" s="1">
        <v>45296</v>
      </c>
      <c r="D299" t="s">
        <v>805</v>
      </c>
      <c r="E299" t="s">
        <v>720</v>
      </c>
      <c r="F299" t="s">
        <v>23</v>
      </c>
      <c r="G299" t="s">
        <v>87</v>
      </c>
      <c r="H299" t="s">
        <v>88</v>
      </c>
      <c r="I299" t="s">
        <v>46</v>
      </c>
      <c r="J299" t="s">
        <v>47</v>
      </c>
      <c r="K299" t="s">
        <v>173</v>
      </c>
      <c r="L299" t="s">
        <v>203</v>
      </c>
      <c r="M299" t="s">
        <v>204</v>
      </c>
      <c r="N299">
        <v>2</v>
      </c>
      <c r="O299">
        <v>3271800</v>
      </c>
      <c r="P299">
        <v>0</v>
      </c>
      <c r="Q299">
        <v>6543600</v>
      </c>
      <c r="R299">
        <v>5102030.67</v>
      </c>
      <c r="S299">
        <v>1441569.33</v>
      </c>
      <c r="T299" t="s">
        <v>31</v>
      </c>
      <c r="U299" t="str">
        <f t="shared" si="12"/>
        <v>2023-12</v>
      </c>
      <c r="V299">
        <f t="shared" si="13"/>
        <v>6</v>
      </c>
      <c r="W299" s="2">
        <f t="shared" si="14"/>
        <v>0.22030217770034843</v>
      </c>
    </row>
    <row r="300" spans="1:23">
      <c r="A300" t="s">
        <v>806</v>
      </c>
      <c r="B300" s="1">
        <v>45882</v>
      </c>
      <c r="C300" s="1">
        <v>45888</v>
      </c>
      <c r="D300" t="s">
        <v>317</v>
      </c>
      <c r="E300" t="s">
        <v>329</v>
      </c>
      <c r="F300" t="s">
        <v>54</v>
      </c>
      <c r="G300" t="s">
        <v>80</v>
      </c>
      <c r="H300" t="s">
        <v>45</v>
      </c>
      <c r="I300" t="s">
        <v>46</v>
      </c>
      <c r="J300" t="s">
        <v>27</v>
      </c>
      <c r="K300" t="s">
        <v>100</v>
      </c>
      <c r="L300" t="s">
        <v>101</v>
      </c>
      <c r="M300" t="s">
        <v>102</v>
      </c>
      <c r="N300">
        <v>4</v>
      </c>
      <c r="O300">
        <v>60200</v>
      </c>
      <c r="P300">
        <v>0.2</v>
      </c>
      <c r="Q300">
        <v>192640</v>
      </c>
      <c r="R300">
        <v>131003.04</v>
      </c>
      <c r="S300">
        <v>61636.959999999999</v>
      </c>
      <c r="T300" t="s">
        <v>31</v>
      </c>
      <c r="U300" t="str">
        <f t="shared" si="12"/>
        <v>2025-08</v>
      </c>
      <c r="V300">
        <f t="shared" si="13"/>
        <v>6</v>
      </c>
      <c r="W300" s="2">
        <f t="shared" si="14"/>
        <v>0.3199593023255814</v>
      </c>
    </row>
    <row r="301" spans="1:23">
      <c r="A301" t="s">
        <v>807</v>
      </c>
      <c r="B301" s="1">
        <v>45577</v>
      </c>
      <c r="C301" s="1">
        <v>45582</v>
      </c>
      <c r="D301" t="s">
        <v>111</v>
      </c>
      <c r="E301" t="s">
        <v>808</v>
      </c>
      <c r="F301" t="s">
        <v>23</v>
      </c>
      <c r="G301" t="s">
        <v>87</v>
      </c>
      <c r="H301" t="s">
        <v>88</v>
      </c>
      <c r="I301" t="s">
        <v>46</v>
      </c>
      <c r="J301" t="s">
        <v>47</v>
      </c>
      <c r="K301" t="s">
        <v>173</v>
      </c>
      <c r="L301" t="s">
        <v>203</v>
      </c>
      <c r="M301" t="s">
        <v>204</v>
      </c>
      <c r="N301">
        <v>2</v>
      </c>
      <c r="O301">
        <v>3258100</v>
      </c>
      <c r="P301">
        <v>0</v>
      </c>
      <c r="Q301">
        <v>6516200</v>
      </c>
      <c r="R301">
        <v>4847103.8499999996</v>
      </c>
      <c r="S301">
        <v>1669096.15</v>
      </c>
      <c r="T301" t="s">
        <v>73</v>
      </c>
      <c r="U301" t="str">
        <f t="shared" si="12"/>
        <v>2024-10</v>
      </c>
      <c r="V301">
        <f t="shared" si="13"/>
        <v>5</v>
      </c>
      <c r="W301" s="2">
        <f t="shared" si="14"/>
        <v>0.25614562935453178</v>
      </c>
    </row>
    <row r="302" spans="1:23">
      <c r="A302" t="s">
        <v>809</v>
      </c>
      <c r="B302" s="1">
        <v>45605</v>
      </c>
      <c r="C302" s="1">
        <v>45608</v>
      </c>
      <c r="D302" t="s">
        <v>374</v>
      </c>
      <c r="E302" t="s">
        <v>810</v>
      </c>
      <c r="F302" t="s">
        <v>35</v>
      </c>
      <c r="G302" t="s">
        <v>87</v>
      </c>
      <c r="H302" t="s">
        <v>88</v>
      </c>
      <c r="I302" t="s">
        <v>46</v>
      </c>
      <c r="J302" t="s">
        <v>47</v>
      </c>
      <c r="K302" t="s">
        <v>128</v>
      </c>
      <c r="L302" t="s">
        <v>129</v>
      </c>
      <c r="M302" t="s">
        <v>130</v>
      </c>
      <c r="N302">
        <v>1</v>
      </c>
      <c r="O302">
        <v>1415400</v>
      </c>
      <c r="P302">
        <v>0</v>
      </c>
      <c r="Q302">
        <v>1415400</v>
      </c>
      <c r="R302">
        <v>1053221.71</v>
      </c>
      <c r="S302">
        <v>362178.29</v>
      </c>
      <c r="T302" t="s">
        <v>31</v>
      </c>
      <c r="U302" t="str">
        <f t="shared" si="12"/>
        <v>2024-11</v>
      </c>
      <c r="V302">
        <f t="shared" si="13"/>
        <v>3</v>
      </c>
      <c r="W302" s="2">
        <f t="shared" si="14"/>
        <v>0.25588405397767416</v>
      </c>
    </row>
    <row r="303" spans="1:23">
      <c r="A303" t="s">
        <v>811</v>
      </c>
      <c r="B303" s="1">
        <v>45584</v>
      </c>
      <c r="C303" s="1">
        <v>45588</v>
      </c>
      <c r="D303" t="s">
        <v>812</v>
      </c>
      <c r="E303" t="s">
        <v>214</v>
      </c>
      <c r="F303" t="s">
        <v>23</v>
      </c>
      <c r="G303" t="s">
        <v>169</v>
      </c>
      <c r="H303" t="s">
        <v>157</v>
      </c>
      <c r="I303" t="s">
        <v>57</v>
      </c>
      <c r="J303" t="s">
        <v>27</v>
      </c>
      <c r="K303" t="s">
        <v>100</v>
      </c>
      <c r="L303" t="s">
        <v>105</v>
      </c>
      <c r="M303" t="s">
        <v>106</v>
      </c>
      <c r="N303">
        <v>1</v>
      </c>
      <c r="O303">
        <v>77000</v>
      </c>
      <c r="P303">
        <v>0.15</v>
      </c>
      <c r="Q303">
        <v>65450</v>
      </c>
      <c r="R303">
        <v>45412.98</v>
      </c>
      <c r="S303">
        <v>20037.02</v>
      </c>
      <c r="T303" t="s">
        <v>60</v>
      </c>
      <c r="U303" t="str">
        <f t="shared" si="12"/>
        <v>2024-10</v>
      </c>
      <c r="V303">
        <f t="shared" si="13"/>
        <v>4</v>
      </c>
      <c r="W303" s="2">
        <f t="shared" si="14"/>
        <v>0.30614239877769289</v>
      </c>
    </row>
    <row r="304" spans="1:23">
      <c r="A304" t="s">
        <v>813</v>
      </c>
      <c r="B304" s="1">
        <v>45534</v>
      </c>
      <c r="C304" s="1">
        <v>45540</v>
      </c>
      <c r="D304" t="s">
        <v>814</v>
      </c>
      <c r="E304" t="s">
        <v>633</v>
      </c>
      <c r="F304" t="s">
        <v>23</v>
      </c>
      <c r="G304" t="s">
        <v>44</v>
      </c>
      <c r="H304" t="s">
        <v>45</v>
      </c>
      <c r="I304" t="s">
        <v>46</v>
      </c>
      <c r="J304" t="s">
        <v>47</v>
      </c>
      <c r="K304" t="s">
        <v>142</v>
      </c>
      <c r="L304" t="s">
        <v>143</v>
      </c>
      <c r="M304" t="s">
        <v>144</v>
      </c>
      <c r="N304">
        <v>3</v>
      </c>
      <c r="O304">
        <v>5772900</v>
      </c>
      <c r="P304">
        <v>0.1</v>
      </c>
      <c r="Q304">
        <v>15586830</v>
      </c>
      <c r="R304">
        <v>13546171.279999999</v>
      </c>
      <c r="S304">
        <v>2040658.72</v>
      </c>
      <c r="T304" t="s">
        <v>31</v>
      </c>
      <c r="U304" t="str">
        <f t="shared" si="12"/>
        <v>2024-08</v>
      </c>
      <c r="V304">
        <f t="shared" si="13"/>
        <v>6</v>
      </c>
      <c r="W304" s="2">
        <f t="shared" si="14"/>
        <v>0.1309219847781749</v>
      </c>
    </row>
    <row r="305" spans="1:23">
      <c r="A305" t="s">
        <v>815</v>
      </c>
      <c r="B305" s="1">
        <v>45348</v>
      </c>
      <c r="C305" s="1">
        <v>45353</v>
      </c>
      <c r="D305" t="s">
        <v>816</v>
      </c>
      <c r="E305" t="s">
        <v>326</v>
      </c>
      <c r="F305" t="s">
        <v>35</v>
      </c>
      <c r="G305" t="s">
        <v>44</v>
      </c>
      <c r="H305" t="s">
        <v>45</v>
      </c>
      <c r="I305" t="s">
        <v>46</v>
      </c>
      <c r="J305" t="s">
        <v>27</v>
      </c>
      <c r="K305" t="s">
        <v>116</v>
      </c>
      <c r="L305" t="s">
        <v>117</v>
      </c>
      <c r="M305" t="s">
        <v>118</v>
      </c>
      <c r="N305">
        <v>1</v>
      </c>
      <c r="O305">
        <v>28600</v>
      </c>
      <c r="P305">
        <v>0</v>
      </c>
      <c r="Q305">
        <v>28600</v>
      </c>
      <c r="R305">
        <v>13446.74</v>
      </c>
      <c r="S305">
        <v>15153.26</v>
      </c>
      <c r="T305" t="s">
        <v>73</v>
      </c>
      <c r="U305" t="str">
        <f t="shared" si="12"/>
        <v>2024-02</v>
      </c>
      <c r="V305">
        <f t="shared" si="13"/>
        <v>5</v>
      </c>
      <c r="W305" s="2">
        <f t="shared" si="14"/>
        <v>0.52983426573426573</v>
      </c>
    </row>
    <row r="306" spans="1:23">
      <c r="A306" t="s">
        <v>817</v>
      </c>
      <c r="B306" s="1">
        <v>45071</v>
      </c>
      <c r="C306" s="1">
        <v>45076</v>
      </c>
      <c r="D306" t="s">
        <v>210</v>
      </c>
      <c r="E306" t="s">
        <v>818</v>
      </c>
      <c r="F306" t="s">
        <v>23</v>
      </c>
      <c r="G306" t="s">
        <v>169</v>
      </c>
      <c r="H306" t="s">
        <v>157</v>
      </c>
      <c r="I306" t="s">
        <v>57</v>
      </c>
      <c r="J306" t="s">
        <v>27</v>
      </c>
      <c r="K306" t="s">
        <v>179</v>
      </c>
      <c r="L306" t="s">
        <v>244</v>
      </c>
      <c r="M306" t="s">
        <v>245</v>
      </c>
      <c r="N306">
        <v>2</v>
      </c>
      <c r="O306">
        <v>34300</v>
      </c>
      <c r="P306">
        <v>0.1</v>
      </c>
      <c r="Q306">
        <v>61740</v>
      </c>
      <c r="R306">
        <v>34969.83</v>
      </c>
      <c r="S306">
        <v>26770.17</v>
      </c>
      <c r="T306" t="s">
        <v>40</v>
      </c>
      <c r="U306" t="str">
        <f t="shared" si="12"/>
        <v>2023-05</v>
      </c>
      <c r="V306">
        <f t="shared" si="13"/>
        <v>5</v>
      </c>
      <c r="W306" s="2">
        <f t="shared" si="14"/>
        <v>0.43359523809523809</v>
      </c>
    </row>
    <row r="307" spans="1:23">
      <c r="A307" t="s">
        <v>819</v>
      </c>
      <c r="B307" s="1">
        <v>45020</v>
      </c>
      <c r="C307" s="1">
        <v>45026</v>
      </c>
      <c r="D307" t="s">
        <v>21</v>
      </c>
      <c r="E307" t="s">
        <v>820</v>
      </c>
      <c r="F307" t="s">
        <v>23</v>
      </c>
      <c r="G307" t="s">
        <v>87</v>
      </c>
      <c r="H307" t="s">
        <v>88</v>
      </c>
      <c r="I307" t="s">
        <v>46</v>
      </c>
      <c r="J307" t="s">
        <v>27</v>
      </c>
      <c r="K307" t="s">
        <v>179</v>
      </c>
      <c r="L307" t="s">
        <v>180</v>
      </c>
      <c r="M307" t="s">
        <v>181</v>
      </c>
      <c r="N307">
        <v>3</v>
      </c>
      <c r="O307">
        <v>53900</v>
      </c>
      <c r="P307">
        <v>0.25</v>
      </c>
      <c r="Q307">
        <v>121275</v>
      </c>
      <c r="R307">
        <v>85665.33</v>
      </c>
      <c r="S307">
        <v>35609.67</v>
      </c>
      <c r="T307" t="s">
        <v>60</v>
      </c>
      <c r="U307" t="str">
        <f t="shared" si="12"/>
        <v>2023-04</v>
      </c>
      <c r="V307">
        <f t="shared" si="13"/>
        <v>6</v>
      </c>
      <c r="W307" s="2">
        <f t="shared" si="14"/>
        <v>0.29362745825602965</v>
      </c>
    </row>
    <row r="308" spans="1:23">
      <c r="A308" t="s">
        <v>821</v>
      </c>
      <c r="B308" s="1">
        <v>46019</v>
      </c>
      <c r="C308" s="1">
        <v>46021</v>
      </c>
      <c r="D308" t="s">
        <v>822</v>
      </c>
      <c r="E308" t="s">
        <v>823</v>
      </c>
      <c r="F308" t="s">
        <v>23</v>
      </c>
      <c r="G308" t="s">
        <v>87</v>
      </c>
      <c r="H308" t="s">
        <v>88</v>
      </c>
      <c r="I308" t="s">
        <v>46</v>
      </c>
      <c r="J308" t="s">
        <v>47</v>
      </c>
      <c r="K308" t="s">
        <v>48</v>
      </c>
      <c r="L308" t="s">
        <v>225</v>
      </c>
      <c r="M308" t="s">
        <v>226</v>
      </c>
      <c r="N308">
        <v>1</v>
      </c>
      <c r="O308">
        <v>251900</v>
      </c>
      <c r="P308">
        <v>0.25</v>
      </c>
      <c r="Q308">
        <v>188925</v>
      </c>
      <c r="R308">
        <v>160620.72</v>
      </c>
      <c r="S308">
        <v>28304.28</v>
      </c>
      <c r="T308" t="s">
        <v>73</v>
      </c>
      <c r="U308" t="str">
        <f t="shared" si="12"/>
        <v>2025-12</v>
      </c>
      <c r="V308">
        <f t="shared" si="13"/>
        <v>2</v>
      </c>
      <c r="W308" s="2">
        <f t="shared" si="14"/>
        <v>0.14981754664549424</v>
      </c>
    </row>
    <row r="309" spans="1:23">
      <c r="A309" t="s">
        <v>824</v>
      </c>
      <c r="B309" s="1">
        <v>45216</v>
      </c>
      <c r="C309" s="1">
        <v>45217</v>
      </c>
      <c r="D309" t="s">
        <v>530</v>
      </c>
      <c r="E309" t="s">
        <v>457</v>
      </c>
      <c r="F309" t="s">
        <v>35</v>
      </c>
      <c r="G309" t="s">
        <v>87</v>
      </c>
      <c r="H309" t="s">
        <v>88</v>
      </c>
      <c r="I309" t="s">
        <v>46</v>
      </c>
      <c r="J309" t="s">
        <v>47</v>
      </c>
      <c r="K309" t="s">
        <v>48</v>
      </c>
      <c r="L309" t="s">
        <v>225</v>
      </c>
      <c r="M309" t="s">
        <v>226</v>
      </c>
      <c r="N309">
        <v>2</v>
      </c>
      <c r="O309">
        <v>244900</v>
      </c>
      <c r="P309">
        <v>0.2</v>
      </c>
      <c r="Q309">
        <v>391840</v>
      </c>
      <c r="R309">
        <v>292322.65000000002</v>
      </c>
      <c r="S309">
        <v>99517.35</v>
      </c>
      <c r="T309" t="s">
        <v>31</v>
      </c>
      <c r="U309" t="str">
        <f t="shared" si="12"/>
        <v>2023-10</v>
      </c>
      <c r="V309">
        <f t="shared" si="13"/>
        <v>1</v>
      </c>
      <c r="W309" s="2">
        <f t="shared" si="14"/>
        <v>0.25397445385871786</v>
      </c>
    </row>
    <row r="310" spans="1:23">
      <c r="A310" t="s">
        <v>825</v>
      </c>
      <c r="B310" s="1">
        <v>45976</v>
      </c>
      <c r="C310" s="1">
        <v>45978</v>
      </c>
      <c r="D310" t="s">
        <v>284</v>
      </c>
      <c r="E310" t="s">
        <v>172</v>
      </c>
      <c r="F310" t="s">
        <v>54</v>
      </c>
      <c r="G310" t="s">
        <v>55</v>
      </c>
      <c r="H310" t="s">
        <v>56</v>
      </c>
      <c r="I310" t="s">
        <v>57</v>
      </c>
      <c r="J310" t="s">
        <v>47</v>
      </c>
      <c r="K310" t="s">
        <v>173</v>
      </c>
      <c r="L310" t="s">
        <v>174</v>
      </c>
      <c r="M310" t="s">
        <v>175</v>
      </c>
      <c r="N310">
        <v>1</v>
      </c>
      <c r="O310">
        <v>4923800</v>
      </c>
      <c r="P310">
        <v>0.1</v>
      </c>
      <c r="Q310">
        <v>4431420</v>
      </c>
      <c r="R310">
        <v>3534317.72</v>
      </c>
      <c r="S310">
        <v>897102.28</v>
      </c>
      <c r="T310" t="s">
        <v>73</v>
      </c>
      <c r="U310" t="str">
        <f t="shared" si="12"/>
        <v>2025-11</v>
      </c>
      <c r="V310">
        <f t="shared" si="13"/>
        <v>2</v>
      </c>
      <c r="W310" s="2">
        <f t="shared" si="14"/>
        <v>0.20244126713333424</v>
      </c>
    </row>
    <row r="311" spans="1:23">
      <c r="A311" t="s">
        <v>826</v>
      </c>
      <c r="B311" s="1">
        <v>45076</v>
      </c>
      <c r="C311" s="1">
        <v>45079</v>
      </c>
      <c r="D311" t="s">
        <v>257</v>
      </c>
      <c r="E311" t="s">
        <v>79</v>
      </c>
      <c r="F311" t="s">
        <v>23</v>
      </c>
      <c r="G311" t="s">
        <v>44</v>
      </c>
      <c r="H311" t="s">
        <v>45</v>
      </c>
      <c r="I311" t="s">
        <v>46</v>
      </c>
      <c r="J311" t="s">
        <v>27</v>
      </c>
      <c r="K311" t="s">
        <v>179</v>
      </c>
      <c r="L311" t="s">
        <v>244</v>
      </c>
      <c r="M311" t="s">
        <v>245</v>
      </c>
      <c r="N311">
        <v>8</v>
      </c>
      <c r="O311">
        <v>37200</v>
      </c>
      <c r="P311">
        <v>0.1</v>
      </c>
      <c r="Q311">
        <v>267840</v>
      </c>
      <c r="R311">
        <v>145896.79999999999</v>
      </c>
      <c r="S311">
        <v>121943.2</v>
      </c>
      <c r="T311" t="s">
        <v>40</v>
      </c>
      <c r="U311" t="str">
        <f t="shared" si="12"/>
        <v>2023-05</v>
      </c>
      <c r="V311">
        <f t="shared" si="13"/>
        <v>3</v>
      </c>
      <c r="W311" s="2">
        <f t="shared" si="14"/>
        <v>0.45528375149342892</v>
      </c>
    </row>
    <row r="312" spans="1:23">
      <c r="A312" t="s">
        <v>827</v>
      </c>
      <c r="B312" s="1">
        <v>45323</v>
      </c>
      <c r="C312" s="1">
        <v>45326</v>
      </c>
      <c r="D312" t="s">
        <v>828</v>
      </c>
      <c r="E312" t="s">
        <v>829</v>
      </c>
      <c r="F312" t="s">
        <v>35</v>
      </c>
      <c r="G312" t="s">
        <v>55</v>
      </c>
      <c r="H312" t="s">
        <v>56</v>
      </c>
      <c r="I312" t="s">
        <v>57</v>
      </c>
      <c r="J312" t="s">
        <v>36</v>
      </c>
      <c r="K312" t="s">
        <v>89</v>
      </c>
      <c r="L312" t="s">
        <v>151</v>
      </c>
      <c r="M312" t="s">
        <v>152</v>
      </c>
      <c r="N312">
        <v>3</v>
      </c>
      <c r="O312">
        <v>1225200</v>
      </c>
      <c r="P312">
        <v>0</v>
      </c>
      <c r="Q312">
        <v>3675600</v>
      </c>
      <c r="R312">
        <v>2476639.77</v>
      </c>
      <c r="S312">
        <v>1198960.23</v>
      </c>
      <c r="T312" t="s">
        <v>73</v>
      </c>
      <c r="U312" t="str">
        <f t="shared" si="12"/>
        <v>2024-02</v>
      </c>
      <c r="V312">
        <f t="shared" si="13"/>
        <v>3</v>
      </c>
      <c r="W312" s="2">
        <f t="shared" si="14"/>
        <v>0.32619442539993471</v>
      </c>
    </row>
    <row r="313" spans="1:23">
      <c r="A313" t="s">
        <v>830</v>
      </c>
      <c r="B313" s="1">
        <v>45380</v>
      </c>
      <c r="C313" s="1">
        <v>45386</v>
      </c>
      <c r="D313" t="s">
        <v>629</v>
      </c>
      <c r="E313" t="s">
        <v>248</v>
      </c>
      <c r="F313" t="s">
        <v>54</v>
      </c>
      <c r="G313" t="s">
        <v>95</v>
      </c>
      <c r="H313" t="s">
        <v>96</v>
      </c>
      <c r="I313" t="s">
        <v>26</v>
      </c>
      <c r="J313" t="s">
        <v>27</v>
      </c>
      <c r="K313" t="s">
        <v>116</v>
      </c>
      <c r="L313" t="s">
        <v>117</v>
      </c>
      <c r="M313" t="s">
        <v>118</v>
      </c>
      <c r="N313">
        <v>3</v>
      </c>
      <c r="O313">
        <v>26300</v>
      </c>
      <c r="P313">
        <v>0.05</v>
      </c>
      <c r="Q313">
        <v>74955</v>
      </c>
      <c r="R313">
        <v>38966.29</v>
      </c>
      <c r="S313">
        <v>35988.71</v>
      </c>
      <c r="T313" t="s">
        <v>73</v>
      </c>
      <c r="U313" t="str">
        <f t="shared" si="12"/>
        <v>2024-03</v>
      </c>
      <c r="V313">
        <f t="shared" si="13"/>
        <v>6</v>
      </c>
      <c r="W313" s="2">
        <f t="shared" si="14"/>
        <v>0.48013754919618434</v>
      </c>
    </row>
    <row r="314" spans="1:23">
      <c r="A314" t="s">
        <v>831</v>
      </c>
      <c r="B314" s="1">
        <v>45149</v>
      </c>
      <c r="C314" s="1">
        <v>45151</v>
      </c>
      <c r="D314" t="s">
        <v>120</v>
      </c>
      <c r="E314" t="s">
        <v>500</v>
      </c>
      <c r="F314" t="s">
        <v>54</v>
      </c>
      <c r="G314" t="s">
        <v>95</v>
      </c>
      <c r="H314" t="s">
        <v>96</v>
      </c>
      <c r="I314" t="s">
        <v>26</v>
      </c>
      <c r="J314" t="s">
        <v>27</v>
      </c>
      <c r="K314" t="s">
        <v>100</v>
      </c>
      <c r="L314" t="s">
        <v>105</v>
      </c>
      <c r="M314" t="s">
        <v>106</v>
      </c>
      <c r="N314">
        <v>6</v>
      </c>
      <c r="O314">
        <v>71700</v>
      </c>
      <c r="P314">
        <v>0.15</v>
      </c>
      <c r="Q314">
        <v>365670</v>
      </c>
      <c r="R314">
        <v>257365.89</v>
      </c>
      <c r="S314">
        <v>108304.11</v>
      </c>
      <c r="T314" t="s">
        <v>73</v>
      </c>
      <c r="U314" t="str">
        <f t="shared" si="12"/>
        <v>2023-08</v>
      </c>
      <c r="V314">
        <f t="shared" si="13"/>
        <v>2</v>
      </c>
      <c r="W314" s="2">
        <f t="shared" si="14"/>
        <v>0.29617991631799162</v>
      </c>
    </row>
    <row r="315" spans="1:23">
      <c r="A315" t="s">
        <v>832</v>
      </c>
      <c r="B315" s="1">
        <v>45965</v>
      </c>
      <c r="C315" s="1">
        <v>45971</v>
      </c>
      <c r="D315" t="s">
        <v>413</v>
      </c>
      <c r="E315" t="s">
        <v>184</v>
      </c>
      <c r="F315" t="s">
        <v>23</v>
      </c>
      <c r="G315" t="s">
        <v>55</v>
      </c>
      <c r="H315" t="s">
        <v>56</v>
      </c>
      <c r="I315" t="s">
        <v>57</v>
      </c>
      <c r="J315" t="s">
        <v>47</v>
      </c>
      <c r="K315" t="s">
        <v>48</v>
      </c>
      <c r="L315" t="s">
        <v>225</v>
      </c>
      <c r="M315" t="s">
        <v>226</v>
      </c>
      <c r="N315">
        <v>3</v>
      </c>
      <c r="O315">
        <v>234500</v>
      </c>
      <c r="P315">
        <v>0.3</v>
      </c>
      <c r="Q315">
        <v>492450</v>
      </c>
      <c r="R315">
        <v>426900.76</v>
      </c>
      <c r="S315">
        <v>65549.240000000005</v>
      </c>
      <c r="T315" t="s">
        <v>31</v>
      </c>
      <c r="U315" t="str">
        <f t="shared" si="12"/>
        <v>2025-11</v>
      </c>
      <c r="V315">
        <f t="shared" si="13"/>
        <v>6</v>
      </c>
      <c r="W315" s="2">
        <f t="shared" si="14"/>
        <v>0.13310841709818258</v>
      </c>
    </row>
    <row r="316" spans="1:23">
      <c r="A316" t="s">
        <v>833</v>
      </c>
      <c r="B316" s="1">
        <v>45384</v>
      </c>
      <c r="C316" s="1">
        <v>45391</v>
      </c>
      <c r="D316" t="s">
        <v>834</v>
      </c>
      <c r="E316" t="s">
        <v>512</v>
      </c>
      <c r="F316" t="s">
        <v>23</v>
      </c>
      <c r="G316" t="s">
        <v>80</v>
      </c>
      <c r="H316" t="s">
        <v>45</v>
      </c>
      <c r="I316" t="s">
        <v>46</v>
      </c>
      <c r="J316" t="s">
        <v>36</v>
      </c>
      <c r="K316" t="s">
        <v>89</v>
      </c>
      <c r="L316" t="s">
        <v>151</v>
      </c>
      <c r="M316" t="s">
        <v>152</v>
      </c>
      <c r="N316">
        <v>2</v>
      </c>
      <c r="O316">
        <v>1263100</v>
      </c>
      <c r="P316">
        <v>0.1</v>
      </c>
      <c r="Q316">
        <v>2273580</v>
      </c>
      <c r="R316">
        <v>1794509.46</v>
      </c>
      <c r="S316">
        <v>479070.54</v>
      </c>
      <c r="T316" t="s">
        <v>31</v>
      </c>
      <c r="U316" t="str">
        <f t="shared" si="12"/>
        <v>2024-04</v>
      </c>
      <c r="V316">
        <f t="shared" si="13"/>
        <v>7</v>
      </c>
      <c r="W316" s="2">
        <f t="shared" si="14"/>
        <v>0.21071197846567966</v>
      </c>
    </row>
    <row r="317" spans="1:23">
      <c r="A317" t="s">
        <v>835</v>
      </c>
      <c r="B317" s="1">
        <v>45214</v>
      </c>
      <c r="C317" s="1">
        <v>45218</v>
      </c>
      <c r="D317" t="s">
        <v>560</v>
      </c>
      <c r="E317" t="s">
        <v>730</v>
      </c>
      <c r="F317" t="s">
        <v>54</v>
      </c>
      <c r="G317" t="s">
        <v>64</v>
      </c>
      <c r="H317" t="s">
        <v>65</v>
      </c>
      <c r="I317" t="s">
        <v>57</v>
      </c>
      <c r="J317" t="s">
        <v>47</v>
      </c>
      <c r="K317" t="s">
        <v>173</v>
      </c>
      <c r="L317" t="s">
        <v>203</v>
      </c>
      <c r="M317" t="s">
        <v>204</v>
      </c>
      <c r="N317">
        <v>1</v>
      </c>
      <c r="O317">
        <v>3223300</v>
      </c>
      <c r="P317">
        <v>0</v>
      </c>
      <c r="Q317">
        <v>3223300</v>
      </c>
      <c r="R317">
        <v>2444873.6800000002</v>
      </c>
      <c r="S317">
        <v>778426.32</v>
      </c>
      <c r="T317" t="s">
        <v>31</v>
      </c>
      <c r="U317" t="str">
        <f t="shared" si="12"/>
        <v>2023-10</v>
      </c>
      <c r="V317">
        <f t="shared" si="13"/>
        <v>4</v>
      </c>
      <c r="W317" s="2">
        <f t="shared" si="14"/>
        <v>0.24149980454813388</v>
      </c>
    </row>
    <row r="318" spans="1:23">
      <c r="A318" t="s">
        <v>836</v>
      </c>
      <c r="B318" s="1">
        <v>45987</v>
      </c>
      <c r="C318" s="1">
        <v>45994</v>
      </c>
      <c r="D318" t="s">
        <v>837</v>
      </c>
      <c r="E318" t="s">
        <v>554</v>
      </c>
      <c r="F318" t="s">
        <v>54</v>
      </c>
      <c r="G318" t="s">
        <v>64</v>
      </c>
      <c r="H318" t="s">
        <v>65</v>
      </c>
      <c r="I318" t="s">
        <v>57</v>
      </c>
      <c r="J318" t="s">
        <v>36</v>
      </c>
      <c r="K318" t="s">
        <v>89</v>
      </c>
      <c r="L318" t="s">
        <v>90</v>
      </c>
      <c r="M318" t="s">
        <v>91</v>
      </c>
      <c r="N318">
        <v>10</v>
      </c>
      <c r="O318">
        <v>3059600</v>
      </c>
      <c r="P318">
        <v>0.15</v>
      </c>
      <c r="Q318">
        <v>26006600</v>
      </c>
      <c r="R318">
        <v>21797965.210000001</v>
      </c>
      <c r="S318">
        <v>4208634.79</v>
      </c>
      <c r="T318" t="s">
        <v>31</v>
      </c>
      <c r="U318" t="str">
        <f t="shared" si="12"/>
        <v>2025-11</v>
      </c>
      <c r="V318">
        <f t="shared" si="13"/>
        <v>7</v>
      </c>
      <c r="W318" s="2">
        <f t="shared" si="14"/>
        <v>0.16182948905277891</v>
      </c>
    </row>
    <row r="319" spans="1:23">
      <c r="A319" t="s">
        <v>838</v>
      </c>
      <c r="B319" s="1">
        <v>45466</v>
      </c>
      <c r="C319" s="1">
        <v>45471</v>
      </c>
      <c r="D319" t="s">
        <v>775</v>
      </c>
      <c r="E319" t="s">
        <v>839</v>
      </c>
      <c r="F319" t="s">
        <v>35</v>
      </c>
      <c r="G319" t="s">
        <v>169</v>
      </c>
      <c r="H319" t="s">
        <v>157</v>
      </c>
      <c r="I319" t="s">
        <v>57</v>
      </c>
      <c r="J319" t="s">
        <v>36</v>
      </c>
      <c r="K319" t="s">
        <v>81</v>
      </c>
      <c r="L319" t="s">
        <v>82</v>
      </c>
      <c r="M319" t="s">
        <v>83</v>
      </c>
      <c r="N319">
        <v>3</v>
      </c>
      <c r="O319">
        <v>713400</v>
      </c>
      <c r="P319">
        <v>0</v>
      </c>
      <c r="Q319">
        <v>2140200</v>
      </c>
      <c r="R319">
        <v>1346040.24</v>
      </c>
      <c r="S319">
        <v>794159.76</v>
      </c>
      <c r="T319" t="s">
        <v>60</v>
      </c>
      <c r="U319" t="str">
        <f t="shared" si="12"/>
        <v>2024-06</v>
      </c>
      <c r="V319">
        <f t="shared" si="13"/>
        <v>5</v>
      </c>
      <c r="W319" s="2">
        <f t="shared" si="14"/>
        <v>0.37106801233529579</v>
      </c>
    </row>
    <row r="320" spans="1:23">
      <c r="A320" t="s">
        <v>840</v>
      </c>
      <c r="B320" s="1">
        <v>45649</v>
      </c>
      <c r="C320" s="1">
        <v>45656</v>
      </c>
      <c r="D320" t="s">
        <v>665</v>
      </c>
      <c r="E320" t="s">
        <v>841</v>
      </c>
      <c r="F320" t="s">
        <v>54</v>
      </c>
      <c r="G320" t="s">
        <v>64</v>
      </c>
      <c r="H320" t="s">
        <v>65</v>
      </c>
      <c r="I320" t="s">
        <v>57</v>
      </c>
      <c r="J320" t="s">
        <v>27</v>
      </c>
      <c r="K320" t="s">
        <v>116</v>
      </c>
      <c r="L320" t="s">
        <v>207</v>
      </c>
      <c r="M320" t="s">
        <v>208</v>
      </c>
      <c r="N320">
        <v>2</v>
      </c>
      <c r="O320">
        <v>107000</v>
      </c>
      <c r="P320">
        <v>0</v>
      </c>
      <c r="Q320">
        <v>214000</v>
      </c>
      <c r="R320">
        <v>117103.42</v>
      </c>
      <c r="S320">
        <v>96896.58</v>
      </c>
      <c r="T320" t="s">
        <v>31</v>
      </c>
      <c r="U320" t="str">
        <f t="shared" si="12"/>
        <v>2024-12</v>
      </c>
      <c r="V320">
        <f t="shared" si="13"/>
        <v>7</v>
      </c>
      <c r="W320" s="2">
        <f t="shared" si="14"/>
        <v>0.45278775700934581</v>
      </c>
    </row>
    <row r="321" spans="1:23">
      <c r="A321" t="s">
        <v>842</v>
      </c>
      <c r="B321" s="1">
        <v>45309</v>
      </c>
      <c r="C321" s="1">
        <v>45311</v>
      </c>
      <c r="D321" t="s">
        <v>843</v>
      </c>
      <c r="E321" t="s">
        <v>439</v>
      </c>
      <c r="F321" t="s">
        <v>35</v>
      </c>
      <c r="G321" t="s">
        <v>44</v>
      </c>
      <c r="H321" t="s">
        <v>45</v>
      </c>
      <c r="I321" t="s">
        <v>46</v>
      </c>
      <c r="J321" t="s">
        <v>36</v>
      </c>
      <c r="K321" t="s">
        <v>37</v>
      </c>
      <c r="L321" t="s">
        <v>58</v>
      </c>
      <c r="M321" t="s">
        <v>59</v>
      </c>
      <c r="N321">
        <v>5</v>
      </c>
      <c r="O321">
        <v>920900</v>
      </c>
      <c r="P321">
        <v>0.05</v>
      </c>
      <c r="Q321">
        <v>4374275</v>
      </c>
      <c r="R321">
        <v>3029576.07</v>
      </c>
      <c r="S321">
        <v>1344698.93</v>
      </c>
      <c r="T321" t="s">
        <v>40</v>
      </c>
      <c r="U321" t="str">
        <f t="shared" si="12"/>
        <v>2024-01</v>
      </c>
      <c r="V321">
        <f t="shared" si="13"/>
        <v>2</v>
      </c>
      <c r="W321" s="2">
        <f t="shared" si="14"/>
        <v>0.30741069777277374</v>
      </c>
    </row>
    <row r="322" spans="1:23">
      <c r="A322" t="s">
        <v>844</v>
      </c>
      <c r="B322" s="1">
        <v>45768</v>
      </c>
      <c r="C322" s="1">
        <v>45769</v>
      </c>
      <c r="D322" t="s">
        <v>845</v>
      </c>
      <c r="E322" t="s">
        <v>846</v>
      </c>
      <c r="F322" t="s">
        <v>35</v>
      </c>
      <c r="G322" t="s">
        <v>55</v>
      </c>
      <c r="H322" t="s">
        <v>56</v>
      </c>
      <c r="I322" t="s">
        <v>57</v>
      </c>
      <c r="J322" t="s">
        <v>47</v>
      </c>
      <c r="K322" t="s">
        <v>173</v>
      </c>
      <c r="L322" t="s">
        <v>203</v>
      </c>
      <c r="M322" t="s">
        <v>204</v>
      </c>
      <c r="N322">
        <v>3</v>
      </c>
      <c r="O322">
        <v>2907600</v>
      </c>
      <c r="P322">
        <v>0.1</v>
      </c>
      <c r="Q322">
        <v>7850520</v>
      </c>
      <c r="R322">
        <v>6346047.2699999996</v>
      </c>
      <c r="S322">
        <v>1504472.73</v>
      </c>
      <c r="T322" t="s">
        <v>73</v>
      </c>
      <c r="U322" t="str">
        <f t="shared" si="12"/>
        <v>2025-04</v>
      </c>
      <c r="V322">
        <f t="shared" si="13"/>
        <v>1</v>
      </c>
      <c r="W322" s="2">
        <f t="shared" si="14"/>
        <v>0.19163988245364638</v>
      </c>
    </row>
    <row r="323" spans="1:23">
      <c r="A323" t="s">
        <v>847</v>
      </c>
      <c r="B323" s="1">
        <v>45985</v>
      </c>
      <c r="C323" s="1">
        <v>45989</v>
      </c>
      <c r="D323" t="s">
        <v>325</v>
      </c>
      <c r="E323" t="s">
        <v>848</v>
      </c>
      <c r="F323" t="s">
        <v>54</v>
      </c>
      <c r="G323" t="s">
        <v>140</v>
      </c>
      <c r="H323" t="s">
        <v>141</v>
      </c>
      <c r="I323" t="s">
        <v>46</v>
      </c>
      <c r="J323" t="s">
        <v>36</v>
      </c>
      <c r="K323" t="s">
        <v>37</v>
      </c>
      <c r="L323" t="s">
        <v>38</v>
      </c>
      <c r="M323" t="s">
        <v>39</v>
      </c>
      <c r="N323">
        <v>8</v>
      </c>
      <c r="O323">
        <v>928700</v>
      </c>
      <c r="P323">
        <v>0.1</v>
      </c>
      <c r="Q323">
        <v>6686640</v>
      </c>
      <c r="R323">
        <v>5109134.9400000004</v>
      </c>
      <c r="S323">
        <v>1577505.06</v>
      </c>
      <c r="T323" t="s">
        <v>60</v>
      </c>
      <c r="U323" t="str">
        <f t="shared" ref="U323:U386" si="15">TEXT(B323,"yyyy-mm")</f>
        <v>2025-11</v>
      </c>
      <c r="V323">
        <f t="shared" ref="V323:V386" si="16">C323-B323</f>
        <v>4</v>
      </c>
      <c r="W323" s="2">
        <f t="shared" ref="W323:W386" si="17">IF(Q323=0,0,S323/Q323)</f>
        <v>0.23591894583826856</v>
      </c>
    </row>
    <row r="324" spans="1:23">
      <c r="A324" t="s">
        <v>849</v>
      </c>
      <c r="B324" s="1">
        <v>45768</v>
      </c>
      <c r="C324" s="1">
        <v>45773</v>
      </c>
      <c r="D324" t="s">
        <v>138</v>
      </c>
      <c r="E324" t="s">
        <v>850</v>
      </c>
      <c r="F324" t="s">
        <v>35</v>
      </c>
      <c r="G324" t="s">
        <v>55</v>
      </c>
      <c r="H324" t="s">
        <v>56</v>
      </c>
      <c r="I324" t="s">
        <v>57</v>
      </c>
      <c r="J324" t="s">
        <v>47</v>
      </c>
      <c r="K324" t="s">
        <v>173</v>
      </c>
      <c r="L324" t="s">
        <v>203</v>
      </c>
      <c r="M324" t="s">
        <v>204</v>
      </c>
      <c r="N324">
        <v>1</v>
      </c>
      <c r="O324">
        <v>3362700</v>
      </c>
      <c r="P324">
        <v>0.25</v>
      </c>
      <c r="Q324">
        <v>2522025</v>
      </c>
      <c r="R324">
        <v>2626058.52</v>
      </c>
      <c r="S324">
        <v>-104033.52</v>
      </c>
      <c r="T324" t="s">
        <v>60</v>
      </c>
      <c r="U324" t="str">
        <f t="shared" si="15"/>
        <v>2025-04</v>
      </c>
      <c r="V324">
        <f t="shared" si="16"/>
        <v>5</v>
      </c>
      <c r="W324" s="2">
        <f t="shared" si="17"/>
        <v>-4.1249995539298777E-2</v>
      </c>
    </row>
    <row r="325" spans="1:23">
      <c r="A325" t="s">
        <v>851</v>
      </c>
      <c r="B325" s="1">
        <v>45716</v>
      </c>
      <c r="C325" s="1">
        <v>45718</v>
      </c>
      <c r="D325" t="s">
        <v>497</v>
      </c>
      <c r="E325" t="s">
        <v>397</v>
      </c>
      <c r="F325" t="s">
        <v>54</v>
      </c>
      <c r="G325" t="s">
        <v>87</v>
      </c>
      <c r="H325" t="s">
        <v>88</v>
      </c>
      <c r="I325" t="s">
        <v>46</v>
      </c>
      <c r="J325" t="s">
        <v>47</v>
      </c>
      <c r="K325" t="s">
        <v>173</v>
      </c>
      <c r="L325" t="s">
        <v>174</v>
      </c>
      <c r="M325" t="s">
        <v>175</v>
      </c>
      <c r="N325">
        <v>5</v>
      </c>
      <c r="O325">
        <v>4856100</v>
      </c>
      <c r="P325">
        <v>0</v>
      </c>
      <c r="Q325">
        <v>24280500</v>
      </c>
      <c r="R325">
        <v>19434277.34</v>
      </c>
      <c r="S325">
        <v>4846222.66</v>
      </c>
      <c r="T325" t="s">
        <v>40</v>
      </c>
      <c r="U325" t="str">
        <f t="shared" si="15"/>
        <v>2025-02</v>
      </c>
      <c r="V325">
        <f t="shared" si="16"/>
        <v>2</v>
      </c>
      <c r="W325" s="2">
        <f t="shared" si="17"/>
        <v>0.19959319865735881</v>
      </c>
    </row>
    <row r="326" spans="1:23">
      <c r="A326" t="s">
        <v>852</v>
      </c>
      <c r="B326" s="1">
        <v>46015</v>
      </c>
      <c r="C326" s="1">
        <v>46020</v>
      </c>
      <c r="D326" t="s">
        <v>853</v>
      </c>
      <c r="E326" t="s">
        <v>854</v>
      </c>
      <c r="F326" t="s">
        <v>35</v>
      </c>
      <c r="G326" t="s">
        <v>64</v>
      </c>
      <c r="H326" t="s">
        <v>65</v>
      </c>
      <c r="I326" t="s">
        <v>57</v>
      </c>
      <c r="J326" t="s">
        <v>27</v>
      </c>
      <c r="K326" t="s">
        <v>100</v>
      </c>
      <c r="L326" t="s">
        <v>105</v>
      </c>
      <c r="M326" t="s">
        <v>106</v>
      </c>
      <c r="N326">
        <v>6</v>
      </c>
      <c r="O326">
        <v>81400</v>
      </c>
      <c r="P326">
        <v>0.1</v>
      </c>
      <c r="Q326">
        <v>439560</v>
      </c>
      <c r="R326">
        <v>288332.87</v>
      </c>
      <c r="S326">
        <v>151227.13</v>
      </c>
      <c r="T326" t="s">
        <v>31</v>
      </c>
      <c r="U326" t="str">
        <f t="shared" si="15"/>
        <v>2025-12</v>
      </c>
      <c r="V326">
        <f t="shared" si="16"/>
        <v>5</v>
      </c>
      <c r="W326" s="2">
        <f t="shared" si="17"/>
        <v>0.34404206479206478</v>
      </c>
    </row>
    <row r="327" spans="1:23">
      <c r="A327" t="s">
        <v>855</v>
      </c>
      <c r="B327" s="1">
        <v>46012</v>
      </c>
      <c r="C327" s="1">
        <v>46016</v>
      </c>
      <c r="D327" t="s">
        <v>570</v>
      </c>
      <c r="E327" t="s">
        <v>264</v>
      </c>
      <c r="F327" t="s">
        <v>23</v>
      </c>
      <c r="G327" t="s">
        <v>169</v>
      </c>
      <c r="H327" t="s">
        <v>157</v>
      </c>
      <c r="I327" t="s">
        <v>57</v>
      </c>
      <c r="J327" t="s">
        <v>47</v>
      </c>
      <c r="K327" t="s">
        <v>128</v>
      </c>
      <c r="L327" t="s">
        <v>129</v>
      </c>
      <c r="M327" t="s">
        <v>130</v>
      </c>
      <c r="N327">
        <v>2</v>
      </c>
      <c r="O327">
        <v>1386200</v>
      </c>
      <c r="P327">
        <v>0.15</v>
      </c>
      <c r="Q327">
        <v>2356540</v>
      </c>
      <c r="R327">
        <v>2132485.69</v>
      </c>
      <c r="S327">
        <v>224054.31</v>
      </c>
      <c r="T327" t="s">
        <v>31</v>
      </c>
      <c r="U327" t="str">
        <f t="shared" si="15"/>
        <v>2025-12</v>
      </c>
      <c r="V327">
        <f t="shared" si="16"/>
        <v>4</v>
      </c>
      <c r="W327" s="2">
        <f t="shared" si="17"/>
        <v>9.5077660468313716E-2</v>
      </c>
    </row>
    <row r="328" spans="1:23">
      <c r="A328" t="s">
        <v>856</v>
      </c>
      <c r="B328" s="1">
        <v>45763</v>
      </c>
      <c r="C328" s="1">
        <v>45766</v>
      </c>
      <c r="D328" t="s">
        <v>857</v>
      </c>
      <c r="E328" t="s">
        <v>858</v>
      </c>
      <c r="F328" t="s">
        <v>35</v>
      </c>
      <c r="G328" t="s">
        <v>55</v>
      </c>
      <c r="H328" t="s">
        <v>56</v>
      </c>
      <c r="I328" t="s">
        <v>57</v>
      </c>
      <c r="J328" t="s">
        <v>47</v>
      </c>
      <c r="K328" t="s">
        <v>142</v>
      </c>
      <c r="L328" t="s">
        <v>158</v>
      </c>
      <c r="M328" t="s">
        <v>159</v>
      </c>
      <c r="N328">
        <v>2</v>
      </c>
      <c r="O328">
        <v>7750600</v>
      </c>
      <c r="P328">
        <v>0.15</v>
      </c>
      <c r="Q328">
        <v>13176020</v>
      </c>
      <c r="R328">
        <v>12129020.76</v>
      </c>
      <c r="S328">
        <v>1046999.24</v>
      </c>
      <c r="T328" t="s">
        <v>31</v>
      </c>
      <c r="U328" t="str">
        <f t="shared" si="15"/>
        <v>2025-04</v>
      </c>
      <c r="V328">
        <f t="shared" si="16"/>
        <v>3</v>
      </c>
      <c r="W328" s="2">
        <f t="shared" si="17"/>
        <v>7.9462481083058464E-2</v>
      </c>
    </row>
    <row r="329" spans="1:23">
      <c r="A329" t="s">
        <v>859</v>
      </c>
      <c r="B329" s="1">
        <v>45446</v>
      </c>
      <c r="C329" s="1">
        <v>45449</v>
      </c>
      <c r="D329" t="s">
        <v>459</v>
      </c>
      <c r="E329" t="s">
        <v>860</v>
      </c>
      <c r="F329" t="s">
        <v>23</v>
      </c>
      <c r="G329" t="s">
        <v>55</v>
      </c>
      <c r="H329" t="s">
        <v>56</v>
      </c>
      <c r="I329" t="s">
        <v>57</v>
      </c>
      <c r="J329" t="s">
        <v>27</v>
      </c>
      <c r="K329" t="s">
        <v>116</v>
      </c>
      <c r="L329" t="s">
        <v>117</v>
      </c>
      <c r="M329" t="s">
        <v>118</v>
      </c>
      <c r="N329">
        <v>10</v>
      </c>
      <c r="O329">
        <v>26700</v>
      </c>
      <c r="P329">
        <v>0</v>
      </c>
      <c r="Q329">
        <v>267000</v>
      </c>
      <c r="R329">
        <v>133678.65</v>
      </c>
      <c r="S329">
        <v>133321.35</v>
      </c>
      <c r="T329" t="s">
        <v>60</v>
      </c>
      <c r="U329" t="str">
        <f t="shared" si="15"/>
        <v>2024-06</v>
      </c>
      <c r="V329">
        <f t="shared" si="16"/>
        <v>3</v>
      </c>
      <c r="W329" s="2">
        <f t="shared" si="17"/>
        <v>0.49933089887640453</v>
      </c>
    </row>
    <row r="330" spans="1:23">
      <c r="A330" t="s">
        <v>861</v>
      </c>
      <c r="B330" s="1">
        <v>45917</v>
      </c>
      <c r="C330" s="1">
        <v>45920</v>
      </c>
      <c r="D330" t="s">
        <v>111</v>
      </c>
      <c r="E330" t="s">
        <v>839</v>
      </c>
      <c r="F330" t="s">
        <v>35</v>
      </c>
      <c r="G330" t="s">
        <v>169</v>
      </c>
      <c r="H330" t="s">
        <v>157</v>
      </c>
      <c r="I330" t="s">
        <v>57</v>
      </c>
      <c r="J330" t="s">
        <v>27</v>
      </c>
      <c r="K330" t="s">
        <v>179</v>
      </c>
      <c r="L330" t="s">
        <v>180</v>
      </c>
      <c r="M330" t="s">
        <v>181</v>
      </c>
      <c r="N330">
        <v>4</v>
      </c>
      <c r="O330">
        <v>55900</v>
      </c>
      <c r="P330">
        <v>0.1</v>
      </c>
      <c r="Q330">
        <v>201240</v>
      </c>
      <c r="R330">
        <v>115075.22</v>
      </c>
      <c r="S330">
        <v>86164.78</v>
      </c>
      <c r="T330" t="s">
        <v>31</v>
      </c>
      <c r="U330" t="str">
        <f t="shared" si="15"/>
        <v>2025-09</v>
      </c>
      <c r="V330">
        <f t="shared" si="16"/>
        <v>3</v>
      </c>
      <c r="W330" s="2">
        <f t="shared" si="17"/>
        <v>0.42816925064599481</v>
      </c>
    </row>
    <row r="331" spans="1:23">
      <c r="A331" t="s">
        <v>862</v>
      </c>
      <c r="B331" s="1">
        <v>45620</v>
      </c>
      <c r="C331" s="1">
        <v>45627</v>
      </c>
      <c r="D331" t="s">
        <v>863</v>
      </c>
      <c r="E331" t="s">
        <v>864</v>
      </c>
      <c r="F331" t="s">
        <v>23</v>
      </c>
      <c r="G331" t="s">
        <v>140</v>
      </c>
      <c r="H331" t="s">
        <v>141</v>
      </c>
      <c r="I331" t="s">
        <v>46</v>
      </c>
      <c r="J331" t="s">
        <v>36</v>
      </c>
      <c r="K331" t="s">
        <v>37</v>
      </c>
      <c r="L331" t="s">
        <v>58</v>
      </c>
      <c r="M331" t="s">
        <v>59</v>
      </c>
      <c r="N331">
        <v>4</v>
      </c>
      <c r="O331">
        <v>940600</v>
      </c>
      <c r="P331">
        <v>0.05</v>
      </c>
      <c r="Q331">
        <v>3574280</v>
      </c>
      <c r="R331">
        <v>2514113.71</v>
      </c>
      <c r="S331">
        <v>1060166.29</v>
      </c>
      <c r="T331" t="s">
        <v>31</v>
      </c>
      <c r="U331" t="str">
        <f t="shared" si="15"/>
        <v>2024-11</v>
      </c>
      <c r="V331">
        <f t="shared" si="16"/>
        <v>7</v>
      </c>
      <c r="W331" s="2">
        <f t="shared" si="17"/>
        <v>0.29660974797721501</v>
      </c>
    </row>
    <row r="332" spans="1:23">
      <c r="A332" t="s">
        <v>865</v>
      </c>
      <c r="B332" s="1">
        <v>45381</v>
      </c>
      <c r="C332" s="1">
        <v>45384</v>
      </c>
      <c r="D332" t="s">
        <v>341</v>
      </c>
      <c r="E332" t="s">
        <v>866</v>
      </c>
      <c r="F332" t="s">
        <v>54</v>
      </c>
      <c r="G332" t="s">
        <v>169</v>
      </c>
      <c r="H332" t="s">
        <v>157</v>
      </c>
      <c r="I332" t="s">
        <v>57</v>
      </c>
      <c r="J332" t="s">
        <v>47</v>
      </c>
      <c r="K332" t="s">
        <v>142</v>
      </c>
      <c r="L332" t="s">
        <v>158</v>
      </c>
      <c r="M332" t="s">
        <v>159</v>
      </c>
      <c r="N332">
        <v>3</v>
      </c>
      <c r="O332">
        <v>8319900</v>
      </c>
      <c r="P332">
        <v>0.15</v>
      </c>
      <c r="Q332">
        <v>21215745</v>
      </c>
      <c r="R332">
        <v>20007289.129999999</v>
      </c>
      <c r="S332">
        <v>1208455.8700000001</v>
      </c>
      <c r="T332" t="s">
        <v>40</v>
      </c>
      <c r="U332" t="str">
        <f t="shared" si="15"/>
        <v>2024-03</v>
      </c>
      <c r="V332">
        <f t="shared" si="16"/>
        <v>3</v>
      </c>
      <c r="W332" s="2">
        <f t="shared" si="17"/>
        <v>5.6960331583925057E-2</v>
      </c>
    </row>
    <row r="333" spans="1:23">
      <c r="A333" t="s">
        <v>867</v>
      </c>
      <c r="B333" s="1">
        <v>45826</v>
      </c>
      <c r="C333" s="1">
        <v>45827</v>
      </c>
      <c r="D333" t="s">
        <v>868</v>
      </c>
      <c r="E333" t="s">
        <v>864</v>
      </c>
      <c r="F333" t="s">
        <v>23</v>
      </c>
      <c r="G333" t="s">
        <v>24</v>
      </c>
      <c r="H333" t="s">
        <v>25</v>
      </c>
      <c r="I333" t="s">
        <v>26</v>
      </c>
      <c r="J333" t="s">
        <v>47</v>
      </c>
      <c r="K333" t="s">
        <v>48</v>
      </c>
      <c r="L333" t="s">
        <v>66</v>
      </c>
      <c r="M333" t="s">
        <v>67</v>
      </c>
      <c r="N333">
        <v>3</v>
      </c>
      <c r="O333">
        <v>131000</v>
      </c>
      <c r="P333">
        <v>0.05</v>
      </c>
      <c r="Q333">
        <v>373350</v>
      </c>
      <c r="R333">
        <v>235952.66</v>
      </c>
      <c r="S333">
        <v>137397.34</v>
      </c>
      <c r="T333" t="s">
        <v>73</v>
      </c>
      <c r="U333" t="str">
        <f t="shared" si="15"/>
        <v>2025-06</v>
      </c>
      <c r="V333">
        <f t="shared" si="16"/>
        <v>1</v>
      </c>
      <c r="W333" s="2">
        <f t="shared" si="17"/>
        <v>0.36801216017142091</v>
      </c>
    </row>
    <row r="334" spans="1:23">
      <c r="A334" t="s">
        <v>869</v>
      </c>
      <c r="B334" s="1">
        <v>45745</v>
      </c>
      <c r="C334" s="1">
        <v>45748</v>
      </c>
      <c r="D334" t="s">
        <v>377</v>
      </c>
      <c r="E334" t="s">
        <v>358</v>
      </c>
      <c r="F334" t="s">
        <v>23</v>
      </c>
      <c r="G334" t="s">
        <v>55</v>
      </c>
      <c r="H334" t="s">
        <v>56</v>
      </c>
      <c r="I334" t="s">
        <v>57</v>
      </c>
      <c r="J334" t="s">
        <v>27</v>
      </c>
      <c r="K334" t="s">
        <v>116</v>
      </c>
      <c r="L334" t="s">
        <v>117</v>
      </c>
      <c r="M334" t="s">
        <v>118</v>
      </c>
      <c r="N334">
        <v>4</v>
      </c>
      <c r="O334">
        <v>24700</v>
      </c>
      <c r="P334">
        <v>0</v>
      </c>
      <c r="Q334">
        <v>98800</v>
      </c>
      <c r="R334">
        <v>47781.88</v>
      </c>
      <c r="S334">
        <v>51018.12</v>
      </c>
      <c r="T334" t="s">
        <v>31</v>
      </c>
      <c r="U334" t="str">
        <f t="shared" si="15"/>
        <v>2025-03</v>
      </c>
      <c r="V334">
        <f t="shared" si="16"/>
        <v>3</v>
      </c>
      <c r="W334" s="2">
        <f t="shared" si="17"/>
        <v>0.51637773279352228</v>
      </c>
    </row>
    <row r="335" spans="1:23">
      <c r="A335" t="s">
        <v>870</v>
      </c>
      <c r="B335" s="1">
        <v>45493</v>
      </c>
      <c r="C335" s="1">
        <v>45495</v>
      </c>
      <c r="D335" t="s">
        <v>871</v>
      </c>
      <c r="E335" t="s">
        <v>872</v>
      </c>
      <c r="F335" t="s">
        <v>54</v>
      </c>
      <c r="G335" t="s">
        <v>64</v>
      </c>
      <c r="H335" t="s">
        <v>65</v>
      </c>
      <c r="I335" t="s">
        <v>57</v>
      </c>
      <c r="J335" t="s">
        <v>36</v>
      </c>
      <c r="K335" t="s">
        <v>81</v>
      </c>
      <c r="L335" t="s">
        <v>82</v>
      </c>
      <c r="M335" t="s">
        <v>83</v>
      </c>
      <c r="N335">
        <v>1</v>
      </c>
      <c r="O335">
        <v>643200</v>
      </c>
      <c r="P335">
        <v>0</v>
      </c>
      <c r="Q335">
        <v>643200</v>
      </c>
      <c r="R335">
        <v>394939.28</v>
      </c>
      <c r="S335">
        <v>248260.72</v>
      </c>
      <c r="T335" t="s">
        <v>31</v>
      </c>
      <c r="U335" t="str">
        <f t="shared" si="15"/>
        <v>2024-07</v>
      </c>
      <c r="V335">
        <f t="shared" si="16"/>
        <v>2</v>
      </c>
      <c r="W335" s="2">
        <f t="shared" si="17"/>
        <v>0.38597748756218908</v>
      </c>
    </row>
    <row r="336" spans="1:23">
      <c r="A336" t="s">
        <v>873</v>
      </c>
      <c r="B336" s="1">
        <v>45978</v>
      </c>
      <c r="C336" s="1">
        <v>45981</v>
      </c>
      <c r="D336" t="s">
        <v>42</v>
      </c>
      <c r="E336" t="s">
        <v>874</v>
      </c>
      <c r="F336" t="s">
        <v>54</v>
      </c>
      <c r="G336" t="s">
        <v>64</v>
      </c>
      <c r="H336" t="s">
        <v>65</v>
      </c>
      <c r="I336" t="s">
        <v>57</v>
      </c>
      <c r="J336" t="s">
        <v>27</v>
      </c>
      <c r="K336" t="s">
        <v>179</v>
      </c>
      <c r="L336" t="s">
        <v>244</v>
      </c>
      <c r="M336" t="s">
        <v>245</v>
      </c>
      <c r="N336">
        <v>4</v>
      </c>
      <c r="O336">
        <v>40500</v>
      </c>
      <c r="P336">
        <v>0.25</v>
      </c>
      <c r="Q336">
        <v>121500</v>
      </c>
      <c r="R336">
        <v>81781.67</v>
      </c>
      <c r="S336">
        <v>39718.33</v>
      </c>
      <c r="T336" t="s">
        <v>40</v>
      </c>
      <c r="U336" t="str">
        <f t="shared" si="15"/>
        <v>2025-11</v>
      </c>
      <c r="V336">
        <f t="shared" si="16"/>
        <v>3</v>
      </c>
      <c r="W336" s="2">
        <f t="shared" si="17"/>
        <v>0.32689983539094652</v>
      </c>
    </row>
    <row r="337" spans="1:23">
      <c r="A337" t="s">
        <v>875</v>
      </c>
      <c r="B337" s="1">
        <v>44983</v>
      </c>
      <c r="C337" s="1">
        <v>44987</v>
      </c>
      <c r="D337" t="s">
        <v>662</v>
      </c>
      <c r="E337" t="s">
        <v>406</v>
      </c>
      <c r="F337" t="s">
        <v>35</v>
      </c>
      <c r="G337" t="s">
        <v>169</v>
      </c>
      <c r="H337" t="s">
        <v>157</v>
      </c>
      <c r="I337" t="s">
        <v>57</v>
      </c>
      <c r="J337" t="s">
        <v>47</v>
      </c>
      <c r="K337" t="s">
        <v>142</v>
      </c>
      <c r="L337" t="s">
        <v>143</v>
      </c>
      <c r="M337" t="s">
        <v>144</v>
      </c>
      <c r="N337">
        <v>3</v>
      </c>
      <c r="O337">
        <v>5798600</v>
      </c>
      <c r="P337">
        <v>0</v>
      </c>
      <c r="Q337">
        <v>17395800</v>
      </c>
      <c r="R337">
        <v>14949365.18</v>
      </c>
      <c r="S337">
        <v>2446434.8199999998</v>
      </c>
      <c r="T337" t="s">
        <v>73</v>
      </c>
      <c r="U337" t="str">
        <f t="shared" si="15"/>
        <v>2023-02</v>
      </c>
      <c r="V337">
        <f t="shared" si="16"/>
        <v>4</v>
      </c>
      <c r="W337" s="2">
        <f t="shared" si="17"/>
        <v>0.14063364835190104</v>
      </c>
    </row>
    <row r="338" spans="1:23">
      <c r="A338" t="s">
        <v>876</v>
      </c>
      <c r="B338" s="1">
        <v>45466</v>
      </c>
      <c r="C338" s="1">
        <v>45468</v>
      </c>
      <c r="D338" t="s">
        <v>537</v>
      </c>
      <c r="E338" t="s">
        <v>877</v>
      </c>
      <c r="F338" t="s">
        <v>23</v>
      </c>
      <c r="G338" t="s">
        <v>156</v>
      </c>
      <c r="H338" t="s">
        <v>157</v>
      </c>
      <c r="I338" t="s">
        <v>57</v>
      </c>
      <c r="J338" t="s">
        <v>47</v>
      </c>
      <c r="K338" t="s">
        <v>48</v>
      </c>
      <c r="L338" t="s">
        <v>225</v>
      </c>
      <c r="M338" t="s">
        <v>226</v>
      </c>
      <c r="N338">
        <v>2</v>
      </c>
      <c r="O338">
        <v>224900</v>
      </c>
      <c r="P338">
        <v>0.2</v>
      </c>
      <c r="Q338">
        <v>359840</v>
      </c>
      <c r="R338">
        <v>265826.36</v>
      </c>
      <c r="S338">
        <v>94013.64</v>
      </c>
      <c r="T338" t="s">
        <v>73</v>
      </c>
      <c r="U338" t="str">
        <f t="shared" si="15"/>
        <v>2024-06</v>
      </c>
      <c r="V338">
        <f t="shared" si="16"/>
        <v>2</v>
      </c>
      <c r="W338" s="2">
        <f t="shared" si="17"/>
        <v>0.26126511783014672</v>
      </c>
    </row>
    <row r="339" spans="1:23">
      <c r="A339" t="s">
        <v>878</v>
      </c>
      <c r="B339" s="1">
        <v>45335</v>
      </c>
      <c r="C339" s="1">
        <v>45337</v>
      </c>
      <c r="D339" t="s">
        <v>564</v>
      </c>
      <c r="E339" t="s">
        <v>879</v>
      </c>
      <c r="F339" t="s">
        <v>23</v>
      </c>
      <c r="G339" t="s">
        <v>24</v>
      </c>
      <c r="H339" t="s">
        <v>25</v>
      </c>
      <c r="I339" t="s">
        <v>26</v>
      </c>
      <c r="J339" t="s">
        <v>27</v>
      </c>
      <c r="K339" t="s">
        <v>179</v>
      </c>
      <c r="L339" t="s">
        <v>244</v>
      </c>
      <c r="M339" t="s">
        <v>245</v>
      </c>
      <c r="N339">
        <v>5</v>
      </c>
      <c r="O339">
        <v>37200</v>
      </c>
      <c r="P339">
        <v>0.15</v>
      </c>
      <c r="Q339">
        <v>158100</v>
      </c>
      <c r="R339">
        <v>89799.33</v>
      </c>
      <c r="S339">
        <v>68300.67</v>
      </c>
      <c r="T339" t="s">
        <v>73</v>
      </c>
      <c r="U339" t="str">
        <f t="shared" si="15"/>
        <v>2024-02</v>
      </c>
      <c r="V339">
        <f t="shared" si="16"/>
        <v>2</v>
      </c>
      <c r="W339" s="2">
        <f t="shared" si="17"/>
        <v>0.43200929791271347</v>
      </c>
    </row>
    <row r="340" spans="1:23">
      <c r="A340" t="s">
        <v>880</v>
      </c>
      <c r="B340" s="1">
        <v>45935</v>
      </c>
      <c r="C340" s="1">
        <v>45940</v>
      </c>
      <c r="D340" t="s">
        <v>881</v>
      </c>
      <c r="E340" t="s">
        <v>882</v>
      </c>
      <c r="F340" t="s">
        <v>23</v>
      </c>
      <c r="G340" t="s">
        <v>64</v>
      </c>
      <c r="H340" t="s">
        <v>65</v>
      </c>
      <c r="I340" t="s">
        <v>57</v>
      </c>
      <c r="J340" t="s">
        <v>47</v>
      </c>
      <c r="K340" t="s">
        <v>142</v>
      </c>
      <c r="L340" t="s">
        <v>158</v>
      </c>
      <c r="M340" t="s">
        <v>159</v>
      </c>
      <c r="N340">
        <v>2</v>
      </c>
      <c r="O340">
        <v>9157600</v>
      </c>
      <c r="P340">
        <v>0.2</v>
      </c>
      <c r="Q340">
        <v>14652160</v>
      </c>
      <c r="R340">
        <v>15185007.039999999</v>
      </c>
      <c r="S340">
        <v>-532847.04</v>
      </c>
      <c r="T340" t="s">
        <v>60</v>
      </c>
      <c r="U340" t="str">
        <f t="shared" si="15"/>
        <v>2025-10</v>
      </c>
      <c r="V340">
        <f t="shared" si="16"/>
        <v>5</v>
      </c>
      <c r="W340" s="2">
        <f t="shared" si="17"/>
        <v>-3.6366449724818735E-2</v>
      </c>
    </row>
    <row r="341" spans="1:23">
      <c r="A341" t="s">
        <v>883</v>
      </c>
      <c r="B341" s="1">
        <v>45973</v>
      </c>
      <c r="C341" s="1">
        <v>45976</v>
      </c>
      <c r="D341" t="s">
        <v>341</v>
      </c>
      <c r="E341" t="s">
        <v>602</v>
      </c>
      <c r="F341" t="s">
        <v>23</v>
      </c>
      <c r="G341" t="s">
        <v>80</v>
      </c>
      <c r="H341" t="s">
        <v>45</v>
      </c>
      <c r="I341" t="s">
        <v>46</v>
      </c>
      <c r="J341" t="s">
        <v>36</v>
      </c>
      <c r="K341" t="s">
        <v>37</v>
      </c>
      <c r="L341" t="s">
        <v>38</v>
      </c>
      <c r="M341" t="s">
        <v>39</v>
      </c>
      <c r="N341">
        <v>2</v>
      </c>
      <c r="O341">
        <v>998600</v>
      </c>
      <c r="P341">
        <v>0.05</v>
      </c>
      <c r="Q341">
        <v>1897340</v>
      </c>
      <c r="R341">
        <v>1359702.9</v>
      </c>
      <c r="S341">
        <v>537637.1</v>
      </c>
      <c r="T341" t="s">
        <v>40</v>
      </c>
      <c r="U341" t="str">
        <f t="shared" si="15"/>
        <v>2025-11</v>
      </c>
      <c r="V341">
        <f t="shared" si="16"/>
        <v>3</v>
      </c>
      <c r="W341" s="2">
        <f t="shared" si="17"/>
        <v>0.2833636037821371</v>
      </c>
    </row>
    <row r="342" spans="1:23">
      <c r="A342" t="s">
        <v>884</v>
      </c>
      <c r="B342" s="1">
        <v>45988</v>
      </c>
      <c r="C342" s="1">
        <v>45992</v>
      </c>
      <c r="D342" t="s">
        <v>75</v>
      </c>
      <c r="E342" t="s">
        <v>885</v>
      </c>
      <c r="F342" t="s">
        <v>35</v>
      </c>
      <c r="G342" t="s">
        <v>140</v>
      </c>
      <c r="H342" t="s">
        <v>141</v>
      </c>
      <c r="I342" t="s">
        <v>46</v>
      </c>
      <c r="J342" t="s">
        <v>47</v>
      </c>
      <c r="K342" t="s">
        <v>142</v>
      </c>
      <c r="L342" t="s">
        <v>158</v>
      </c>
      <c r="M342" t="s">
        <v>159</v>
      </c>
      <c r="N342">
        <v>3</v>
      </c>
      <c r="O342">
        <v>7967100</v>
      </c>
      <c r="P342">
        <v>0.1</v>
      </c>
      <c r="Q342">
        <v>21511170</v>
      </c>
      <c r="R342">
        <v>18340271.960000001</v>
      </c>
      <c r="S342">
        <v>3170898.04</v>
      </c>
      <c r="T342" t="s">
        <v>40</v>
      </c>
      <c r="U342" t="str">
        <f t="shared" si="15"/>
        <v>2025-11</v>
      </c>
      <c r="V342">
        <f t="shared" si="16"/>
        <v>4</v>
      </c>
      <c r="W342" s="2">
        <f t="shared" si="17"/>
        <v>0.14740704666459334</v>
      </c>
    </row>
    <row r="343" spans="1:23">
      <c r="A343" t="s">
        <v>886</v>
      </c>
      <c r="B343" s="1">
        <v>45892</v>
      </c>
      <c r="C343" s="1">
        <v>45897</v>
      </c>
      <c r="D343" t="s">
        <v>393</v>
      </c>
      <c r="E343" t="s">
        <v>439</v>
      </c>
      <c r="F343" t="s">
        <v>23</v>
      </c>
      <c r="G343" t="s">
        <v>64</v>
      </c>
      <c r="H343" t="s">
        <v>65</v>
      </c>
      <c r="I343" t="s">
        <v>57</v>
      </c>
      <c r="J343" t="s">
        <v>36</v>
      </c>
      <c r="K343" t="s">
        <v>81</v>
      </c>
      <c r="L343" t="s">
        <v>82</v>
      </c>
      <c r="M343" t="s">
        <v>83</v>
      </c>
      <c r="N343">
        <v>3</v>
      </c>
      <c r="O343">
        <v>638200</v>
      </c>
      <c r="P343">
        <v>0.2</v>
      </c>
      <c r="Q343">
        <v>1531680</v>
      </c>
      <c r="R343">
        <v>1208620.31</v>
      </c>
      <c r="S343">
        <v>323059.69</v>
      </c>
      <c r="T343" t="s">
        <v>40</v>
      </c>
      <c r="U343" t="str">
        <f t="shared" si="15"/>
        <v>2025-08</v>
      </c>
      <c r="V343">
        <f t="shared" si="16"/>
        <v>5</v>
      </c>
      <c r="W343" s="2">
        <f t="shared" si="17"/>
        <v>0.21091852736864097</v>
      </c>
    </row>
    <row r="344" spans="1:23">
      <c r="A344" t="s">
        <v>887</v>
      </c>
      <c r="B344" s="1">
        <v>45395</v>
      </c>
      <c r="C344" s="1">
        <v>45402</v>
      </c>
      <c r="D344" t="s">
        <v>662</v>
      </c>
      <c r="E344" t="s">
        <v>124</v>
      </c>
      <c r="F344" t="s">
        <v>35</v>
      </c>
      <c r="G344" t="s">
        <v>24</v>
      </c>
      <c r="H344" t="s">
        <v>25</v>
      </c>
      <c r="I344" t="s">
        <v>26</v>
      </c>
      <c r="J344" t="s">
        <v>47</v>
      </c>
      <c r="K344" t="s">
        <v>48</v>
      </c>
      <c r="L344" t="s">
        <v>66</v>
      </c>
      <c r="M344" t="s">
        <v>67</v>
      </c>
      <c r="N344">
        <v>1</v>
      </c>
      <c r="O344">
        <v>134500</v>
      </c>
      <c r="P344">
        <v>0.15</v>
      </c>
      <c r="Q344">
        <v>114325</v>
      </c>
      <c r="R344">
        <v>78906.2</v>
      </c>
      <c r="S344">
        <v>35418.800000000003</v>
      </c>
      <c r="T344" t="s">
        <v>40</v>
      </c>
      <c r="U344" t="str">
        <f t="shared" si="15"/>
        <v>2024-04</v>
      </c>
      <c r="V344">
        <f t="shared" si="16"/>
        <v>7</v>
      </c>
      <c r="W344" s="2">
        <f t="shared" si="17"/>
        <v>0.30980800349879734</v>
      </c>
    </row>
    <row r="345" spans="1:23">
      <c r="A345" t="s">
        <v>888</v>
      </c>
      <c r="B345" s="1">
        <v>45950</v>
      </c>
      <c r="C345" s="1">
        <v>45952</v>
      </c>
      <c r="D345" t="s">
        <v>494</v>
      </c>
      <c r="E345" t="s">
        <v>889</v>
      </c>
      <c r="F345" t="s">
        <v>23</v>
      </c>
      <c r="G345" t="s">
        <v>64</v>
      </c>
      <c r="H345" t="s">
        <v>65</v>
      </c>
      <c r="I345" t="s">
        <v>57</v>
      </c>
      <c r="J345" t="s">
        <v>27</v>
      </c>
      <c r="K345" t="s">
        <v>179</v>
      </c>
      <c r="L345" t="s">
        <v>180</v>
      </c>
      <c r="M345" t="s">
        <v>181</v>
      </c>
      <c r="N345">
        <v>2</v>
      </c>
      <c r="O345">
        <v>58900</v>
      </c>
      <c r="P345">
        <v>0</v>
      </c>
      <c r="Q345">
        <v>117800</v>
      </c>
      <c r="R345">
        <v>65917.59</v>
      </c>
      <c r="S345">
        <v>51882.41</v>
      </c>
      <c r="T345" t="s">
        <v>31</v>
      </c>
      <c r="U345" t="str">
        <f t="shared" si="15"/>
        <v>2025-10</v>
      </c>
      <c r="V345">
        <f t="shared" si="16"/>
        <v>2</v>
      </c>
      <c r="W345" s="2">
        <f t="shared" si="17"/>
        <v>0.44042792869269953</v>
      </c>
    </row>
    <row r="346" spans="1:23">
      <c r="A346" t="s">
        <v>890</v>
      </c>
      <c r="B346" s="1">
        <v>45124</v>
      </c>
      <c r="C346" s="1">
        <v>45128</v>
      </c>
      <c r="D346" t="s">
        <v>269</v>
      </c>
      <c r="E346" t="s">
        <v>891</v>
      </c>
      <c r="F346" t="s">
        <v>23</v>
      </c>
      <c r="G346" t="s">
        <v>156</v>
      </c>
      <c r="H346" t="s">
        <v>157</v>
      </c>
      <c r="I346" t="s">
        <v>57</v>
      </c>
      <c r="J346" t="s">
        <v>27</v>
      </c>
      <c r="K346" t="s">
        <v>179</v>
      </c>
      <c r="L346" t="s">
        <v>244</v>
      </c>
      <c r="M346" t="s">
        <v>245</v>
      </c>
      <c r="N346">
        <v>2</v>
      </c>
      <c r="O346">
        <v>37600</v>
      </c>
      <c r="P346">
        <v>0.05</v>
      </c>
      <c r="Q346">
        <v>71440</v>
      </c>
      <c r="R346">
        <v>39041.82</v>
      </c>
      <c r="S346">
        <v>32398.18</v>
      </c>
      <c r="T346" t="s">
        <v>60</v>
      </c>
      <c r="U346" t="str">
        <f t="shared" si="15"/>
        <v>2023-07</v>
      </c>
      <c r="V346">
        <f t="shared" si="16"/>
        <v>4</v>
      </c>
      <c r="W346" s="2">
        <f t="shared" si="17"/>
        <v>0.45350195968645018</v>
      </c>
    </row>
    <row r="347" spans="1:23">
      <c r="A347" t="s">
        <v>892</v>
      </c>
      <c r="B347" s="1">
        <v>45284</v>
      </c>
      <c r="C347" s="1">
        <v>45291</v>
      </c>
      <c r="D347" t="s">
        <v>893</v>
      </c>
      <c r="E347" t="s">
        <v>297</v>
      </c>
      <c r="F347" t="s">
        <v>23</v>
      </c>
      <c r="G347" t="s">
        <v>87</v>
      </c>
      <c r="H347" t="s">
        <v>88</v>
      </c>
      <c r="I347" t="s">
        <v>46</v>
      </c>
      <c r="J347" t="s">
        <v>47</v>
      </c>
      <c r="K347" t="s">
        <v>48</v>
      </c>
      <c r="L347" t="s">
        <v>49</v>
      </c>
      <c r="M347" t="s">
        <v>50</v>
      </c>
      <c r="N347">
        <v>5</v>
      </c>
      <c r="O347">
        <v>477200</v>
      </c>
      <c r="P347">
        <v>0</v>
      </c>
      <c r="Q347">
        <v>2386000</v>
      </c>
      <c r="R347">
        <v>1526839.58</v>
      </c>
      <c r="S347">
        <v>859160.42</v>
      </c>
      <c r="T347" t="s">
        <v>40</v>
      </c>
      <c r="U347" t="str">
        <f t="shared" si="15"/>
        <v>2023-12</v>
      </c>
      <c r="V347">
        <f t="shared" si="16"/>
        <v>7</v>
      </c>
      <c r="W347" s="2">
        <f t="shared" si="17"/>
        <v>0.36008399832355409</v>
      </c>
    </row>
    <row r="348" spans="1:23">
      <c r="A348" t="s">
        <v>894</v>
      </c>
      <c r="B348" s="1">
        <v>45617</v>
      </c>
      <c r="C348" s="1">
        <v>45621</v>
      </c>
      <c r="D348" t="s">
        <v>135</v>
      </c>
      <c r="E348" t="s">
        <v>738</v>
      </c>
      <c r="F348" t="s">
        <v>23</v>
      </c>
      <c r="G348" t="s">
        <v>44</v>
      </c>
      <c r="H348" t="s">
        <v>45</v>
      </c>
      <c r="I348" t="s">
        <v>46</v>
      </c>
      <c r="J348" t="s">
        <v>27</v>
      </c>
      <c r="K348" t="s">
        <v>116</v>
      </c>
      <c r="L348" t="s">
        <v>117</v>
      </c>
      <c r="M348" t="s">
        <v>118</v>
      </c>
      <c r="N348">
        <v>1</v>
      </c>
      <c r="O348">
        <v>26200</v>
      </c>
      <c r="P348">
        <v>0</v>
      </c>
      <c r="Q348">
        <v>26200</v>
      </c>
      <c r="R348">
        <v>12642.5</v>
      </c>
      <c r="S348">
        <v>13557.5</v>
      </c>
      <c r="T348" t="s">
        <v>60</v>
      </c>
      <c r="U348" t="str">
        <f t="shared" si="15"/>
        <v>2024-11</v>
      </c>
      <c r="V348">
        <f t="shared" si="16"/>
        <v>4</v>
      </c>
      <c r="W348" s="2">
        <f t="shared" si="17"/>
        <v>0.51746183206106866</v>
      </c>
    </row>
    <row r="349" spans="1:23">
      <c r="A349" t="s">
        <v>895</v>
      </c>
      <c r="B349" s="1">
        <v>45838</v>
      </c>
      <c r="C349" s="1">
        <v>45845</v>
      </c>
      <c r="D349" t="s">
        <v>275</v>
      </c>
      <c r="E349" t="s">
        <v>630</v>
      </c>
      <c r="F349" t="s">
        <v>35</v>
      </c>
      <c r="G349" t="s">
        <v>55</v>
      </c>
      <c r="H349" t="s">
        <v>56</v>
      </c>
      <c r="I349" t="s">
        <v>57</v>
      </c>
      <c r="J349" t="s">
        <v>27</v>
      </c>
      <c r="K349" t="s">
        <v>179</v>
      </c>
      <c r="L349" t="s">
        <v>180</v>
      </c>
      <c r="M349" t="s">
        <v>181</v>
      </c>
      <c r="N349">
        <v>2</v>
      </c>
      <c r="O349">
        <v>52700</v>
      </c>
      <c r="P349">
        <v>0</v>
      </c>
      <c r="Q349">
        <v>105400</v>
      </c>
      <c r="R349">
        <v>58354.03</v>
      </c>
      <c r="S349">
        <v>47045.97</v>
      </c>
      <c r="T349" t="s">
        <v>40</v>
      </c>
      <c r="U349" t="str">
        <f t="shared" si="15"/>
        <v>2025-06</v>
      </c>
      <c r="V349">
        <f t="shared" si="16"/>
        <v>7</v>
      </c>
      <c r="W349" s="2">
        <f t="shared" si="17"/>
        <v>0.44635645161290322</v>
      </c>
    </row>
    <row r="350" spans="1:23">
      <c r="A350" t="s">
        <v>896</v>
      </c>
      <c r="B350" s="1">
        <v>45090</v>
      </c>
      <c r="C350" s="1">
        <v>45092</v>
      </c>
      <c r="D350" t="s">
        <v>570</v>
      </c>
      <c r="E350" t="s">
        <v>86</v>
      </c>
      <c r="F350" t="s">
        <v>23</v>
      </c>
      <c r="G350" t="s">
        <v>44</v>
      </c>
      <c r="H350" t="s">
        <v>45</v>
      </c>
      <c r="I350" t="s">
        <v>46</v>
      </c>
      <c r="J350" t="s">
        <v>47</v>
      </c>
      <c r="K350" t="s">
        <v>142</v>
      </c>
      <c r="L350" t="s">
        <v>143</v>
      </c>
      <c r="M350" t="s">
        <v>144</v>
      </c>
      <c r="N350">
        <v>2</v>
      </c>
      <c r="O350">
        <v>5525400</v>
      </c>
      <c r="P350">
        <v>0.05</v>
      </c>
      <c r="Q350">
        <v>10498260</v>
      </c>
      <c r="R350">
        <v>9277805.4800000004</v>
      </c>
      <c r="S350">
        <v>1220454.52</v>
      </c>
      <c r="T350" t="s">
        <v>40</v>
      </c>
      <c r="U350" t="str">
        <f t="shared" si="15"/>
        <v>2023-06</v>
      </c>
      <c r="V350">
        <f t="shared" si="16"/>
        <v>2</v>
      </c>
      <c r="W350" s="2">
        <f t="shared" si="17"/>
        <v>0.1162530285971199</v>
      </c>
    </row>
    <row r="351" spans="1:23">
      <c r="A351" t="s">
        <v>897</v>
      </c>
      <c r="B351" s="1">
        <v>45245</v>
      </c>
      <c r="C351" s="1">
        <v>45246</v>
      </c>
      <c r="D351" t="s">
        <v>898</v>
      </c>
      <c r="E351" t="s">
        <v>808</v>
      </c>
      <c r="F351" t="s">
        <v>23</v>
      </c>
      <c r="G351" t="s">
        <v>95</v>
      </c>
      <c r="H351" t="s">
        <v>96</v>
      </c>
      <c r="I351" t="s">
        <v>26</v>
      </c>
      <c r="J351" t="s">
        <v>27</v>
      </c>
      <c r="K351" t="s">
        <v>116</v>
      </c>
      <c r="L351" t="s">
        <v>117</v>
      </c>
      <c r="M351" t="s">
        <v>118</v>
      </c>
      <c r="N351">
        <v>2</v>
      </c>
      <c r="O351">
        <v>25100</v>
      </c>
      <c r="P351">
        <v>0.1</v>
      </c>
      <c r="Q351">
        <v>45180</v>
      </c>
      <c r="R351">
        <v>23913.66</v>
      </c>
      <c r="S351">
        <v>21266.34</v>
      </c>
      <c r="T351" t="s">
        <v>60</v>
      </c>
      <c r="U351" t="str">
        <f t="shared" si="15"/>
        <v>2023-11</v>
      </c>
      <c r="V351">
        <f t="shared" si="16"/>
        <v>1</v>
      </c>
      <c r="W351" s="2">
        <f t="shared" si="17"/>
        <v>0.47070252324037187</v>
      </c>
    </row>
    <row r="352" spans="1:23">
      <c r="A352" t="s">
        <v>899</v>
      </c>
      <c r="B352" s="1">
        <v>45593</v>
      </c>
      <c r="C352" s="1">
        <v>45600</v>
      </c>
      <c r="D352" t="s">
        <v>177</v>
      </c>
      <c r="E352" t="s">
        <v>386</v>
      </c>
      <c r="F352" t="s">
        <v>35</v>
      </c>
      <c r="G352" t="s">
        <v>95</v>
      </c>
      <c r="H352" t="s">
        <v>96</v>
      </c>
      <c r="I352" t="s">
        <v>26</v>
      </c>
      <c r="J352" t="s">
        <v>36</v>
      </c>
      <c r="K352" t="s">
        <v>37</v>
      </c>
      <c r="L352" t="s">
        <v>38</v>
      </c>
      <c r="M352" t="s">
        <v>39</v>
      </c>
      <c r="N352">
        <v>8</v>
      </c>
      <c r="O352">
        <v>1032400</v>
      </c>
      <c r="P352">
        <v>0</v>
      </c>
      <c r="Q352">
        <v>8259200</v>
      </c>
      <c r="R352">
        <v>5771747.3600000003</v>
      </c>
      <c r="S352">
        <v>2487452.64</v>
      </c>
      <c r="T352" t="s">
        <v>73</v>
      </c>
      <c r="U352" t="str">
        <f t="shared" si="15"/>
        <v>2024-10</v>
      </c>
      <c r="V352">
        <f t="shared" si="16"/>
        <v>7</v>
      </c>
      <c r="W352" s="2">
        <f t="shared" si="17"/>
        <v>0.30117355676094537</v>
      </c>
    </row>
    <row r="353" spans="1:23">
      <c r="A353" t="s">
        <v>900</v>
      </c>
      <c r="B353" s="1">
        <v>46020</v>
      </c>
      <c r="C353" s="1">
        <v>46023</v>
      </c>
      <c r="D353" t="s">
        <v>698</v>
      </c>
      <c r="E353" t="s">
        <v>475</v>
      </c>
      <c r="F353" t="s">
        <v>23</v>
      </c>
      <c r="G353" t="s">
        <v>87</v>
      </c>
      <c r="H353" t="s">
        <v>88</v>
      </c>
      <c r="I353" t="s">
        <v>46</v>
      </c>
      <c r="J353" t="s">
        <v>27</v>
      </c>
      <c r="K353" t="s">
        <v>116</v>
      </c>
      <c r="L353" t="s">
        <v>207</v>
      </c>
      <c r="M353" t="s">
        <v>208</v>
      </c>
      <c r="N353">
        <v>2</v>
      </c>
      <c r="O353">
        <v>112800</v>
      </c>
      <c r="P353">
        <v>0</v>
      </c>
      <c r="Q353">
        <v>225600</v>
      </c>
      <c r="R353">
        <v>127237.22</v>
      </c>
      <c r="S353">
        <v>98362.78</v>
      </c>
      <c r="T353" t="s">
        <v>31</v>
      </c>
      <c r="U353" t="str">
        <f t="shared" si="15"/>
        <v>2025-12</v>
      </c>
      <c r="V353">
        <f t="shared" si="16"/>
        <v>3</v>
      </c>
      <c r="W353" s="2">
        <f t="shared" si="17"/>
        <v>0.4360052304964539</v>
      </c>
    </row>
    <row r="354" spans="1:23">
      <c r="A354" t="s">
        <v>901</v>
      </c>
      <c r="B354" s="1">
        <v>45206</v>
      </c>
      <c r="C354" s="1">
        <v>45209</v>
      </c>
      <c r="D354" t="s">
        <v>733</v>
      </c>
      <c r="E354" t="s">
        <v>648</v>
      </c>
      <c r="F354" t="s">
        <v>54</v>
      </c>
      <c r="G354" t="s">
        <v>64</v>
      </c>
      <c r="H354" t="s">
        <v>65</v>
      </c>
      <c r="I354" t="s">
        <v>57</v>
      </c>
      <c r="J354" t="s">
        <v>47</v>
      </c>
      <c r="K354" t="s">
        <v>142</v>
      </c>
      <c r="L354" t="s">
        <v>158</v>
      </c>
      <c r="M354" t="s">
        <v>159</v>
      </c>
      <c r="N354">
        <v>1</v>
      </c>
      <c r="O354">
        <v>8761600</v>
      </c>
      <c r="P354">
        <v>0.15</v>
      </c>
      <c r="Q354">
        <v>7447360</v>
      </c>
      <c r="R354">
        <v>7022739.4000000004</v>
      </c>
      <c r="S354">
        <v>424620.6</v>
      </c>
      <c r="T354" t="s">
        <v>40</v>
      </c>
      <c r="U354" t="str">
        <f t="shared" si="15"/>
        <v>2023-10</v>
      </c>
      <c r="V354">
        <f t="shared" si="16"/>
        <v>3</v>
      </c>
      <c r="W354" s="2">
        <f t="shared" si="17"/>
        <v>5.7016258110256519E-2</v>
      </c>
    </row>
    <row r="355" spans="1:23">
      <c r="A355" t="s">
        <v>902</v>
      </c>
      <c r="B355" s="1">
        <v>45313</v>
      </c>
      <c r="C355" s="1">
        <v>45317</v>
      </c>
      <c r="D355" t="s">
        <v>360</v>
      </c>
      <c r="E355" t="s">
        <v>645</v>
      </c>
      <c r="F355" t="s">
        <v>23</v>
      </c>
      <c r="G355" t="s">
        <v>169</v>
      </c>
      <c r="H355" t="s">
        <v>157</v>
      </c>
      <c r="I355" t="s">
        <v>57</v>
      </c>
      <c r="J355" t="s">
        <v>27</v>
      </c>
      <c r="K355" t="s">
        <v>116</v>
      </c>
      <c r="L355" t="s">
        <v>117</v>
      </c>
      <c r="M355" t="s">
        <v>118</v>
      </c>
      <c r="N355">
        <v>5</v>
      </c>
      <c r="O355">
        <v>25600</v>
      </c>
      <c r="P355">
        <v>0</v>
      </c>
      <c r="Q355">
        <v>128000</v>
      </c>
      <c r="R355">
        <v>64682.63</v>
      </c>
      <c r="S355">
        <v>63317.37</v>
      </c>
      <c r="T355" t="s">
        <v>40</v>
      </c>
      <c r="U355" t="str">
        <f t="shared" si="15"/>
        <v>2024-01</v>
      </c>
      <c r="V355">
        <f t="shared" si="16"/>
        <v>4</v>
      </c>
      <c r="W355" s="2">
        <f t="shared" si="17"/>
        <v>0.49466695312500003</v>
      </c>
    </row>
    <row r="356" spans="1:23">
      <c r="A356" t="s">
        <v>903</v>
      </c>
      <c r="B356" s="1">
        <v>46016</v>
      </c>
      <c r="C356" s="1">
        <v>46023</v>
      </c>
      <c r="D356" t="s">
        <v>881</v>
      </c>
      <c r="E356" t="s">
        <v>394</v>
      </c>
      <c r="F356" t="s">
        <v>23</v>
      </c>
      <c r="G356" t="s">
        <v>44</v>
      </c>
      <c r="H356" t="s">
        <v>45</v>
      </c>
      <c r="I356" t="s">
        <v>46</v>
      </c>
      <c r="J356" t="s">
        <v>47</v>
      </c>
      <c r="K356" t="s">
        <v>173</v>
      </c>
      <c r="L356" t="s">
        <v>174</v>
      </c>
      <c r="M356" t="s">
        <v>175</v>
      </c>
      <c r="N356">
        <v>1</v>
      </c>
      <c r="O356">
        <v>4700800</v>
      </c>
      <c r="P356">
        <v>0.05</v>
      </c>
      <c r="Q356">
        <v>4465760</v>
      </c>
      <c r="R356">
        <v>3670366.2</v>
      </c>
      <c r="S356">
        <v>795393.8</v>
      </c>
      <c r="T356" t="s">
        <v>60</v>
      </c>
      <c r="U356" t="str">
        <f t="shared" si="15"/>
        <v>2025-12</v>
      </c>
      <c r="V356">
        <f t="shared" si="16"/>
        <v>7</v>
      </c>
      <c r="W356" s="2">
        <f t="shared" si="17"/>
        <v>0.17810939235426893</v>
      </c>
    </row>
    <row r="357" spans="1:23">
      <c r="A357" t="s">
        <v>904</v>
      </c>
      <c r="B357" s="1">
        <v>44966</v>
      </c>
      <c r="C357" s="1">
        <v>44968</v>
      </c>
      <c r="D357" t="s">
        <v>745</v>
      </c>
      <c r="E357" t="s">
        <v>595</v>
      </c>
      <c r="F357" t="s">
        <v>54</v>
      </c>
      <c r="G357" t="s">
        <v>80</v>
      </c>
      <c r="H357" t="s">
        <v>45</v>
      </c>
      <c r="I357" t="s">
        <v>46</v>
      </c>
      <c r="J357" t="s">
        <v>47</v>
      </c>
      <c r="K357" t="s">
        <v>142</v>
      </c>
      <c r="L357" t="s">
        <v>158</v>
      </c>
      <c r="M357" t="s">
        <v>159</v>
      </c>
      <c r="N357">
        <v>1</v>
      </c>
      <c r="O357">
        <v>8670200</v>
      </c>
      <c r="P357">
        <v>0.15</v>
      </c>
      <c r="Q357">
        <v>7369670</v>
      </c>
      <c r="R357">
        <v>6629295.4800000004</v>
      </c>
      <c r="S357">
        <v>740374.52</v>
      </c>
      <c r="T357" t="s">
        <v>60</v>
      </c>
      <c r="U357" t="str">
        <f t="shared" si="15"/>
        <v>2023-02</v>
      </c>
      <c r="V357">
        <f t="shared" si="16"/>
        <v>2</v>
      </c>
      <c r="W357" s="2">
        <f t="shared" si="17"/>
        <v>0.10046237077101146</v>
      </c>
    </row>
    <row r="358" spans="1:23">
      <c r="A358" t="s">
        <v>905</v>
      </c>
      <c r="B358" s="1">
        <v>45371</v>
      </c>
      <c r="C358" s="1">
        <v>45374</v>
      </c>
      <c r="D358" t="s">
        <v>390</v>
      </c>
      <c r="E358" t="s">
        <v>906</v>
      </c>
      <c r="F358" t="s">
        <v>23</v>
      </c>
      <c r="G358" t="s">
        <v>156</v>
      </c>
      <c r="H358" t="s">
        <v>157</v>
      </c>
      <c r="I358" t="s">
        <v>57</v>
      </c>
      <c r="J358" t="s">
        <v>36</v>
      </c>
      <c r="K358" t="s">
        <v>89</v>
      </c>
      <c r="L358" t="s">
        <v>90</v>
      </c>
      <c r="M358" t="s">
        <v>91</v>
      </c>
      <c r="N358">
        <v>2</v>
      </c>
      <c r="O358">
        <v>3419600</v>
      </c>
      <c r="P358">
        <v>0.25</v>
      </c>
      <c r="Q358">
        <v>5129400</v>
      </c>
      <c r="R358">
        <v>4582944.43</v>
      </c>
      <c r="S358">
        <v>546455.56999999995</v>
      </c>
      <c r="T358" t="s">
        <v>31</v>
      </c>
      <c r="U358" t="str">
        <f t="shared" si="15"/>
        <v>2024-03</v>
      </c>
      <c r="V358">
        <f t="shared" si="16"/>
        <v>3</v>
      </c>
      <c r="W358" s="2">
        <f t="shared" si="17"/>
        <v>0.10653401372480212</v>
      </c>
    </row>
    <row r="359" spans="1:23">
      <c r="A359" t="s">
        <v>907</v>
      </c>
      <c r="B359" s="1">
        <v>45889</v>
      </c>
      <c r="C359" s="1">
        <v>45891</v>
      </c>
      <c r="D359" t="s">
        <v>908</v>
      </c>
      <c r="E359" t="s">
        <v>909</v>
      </c>
      <c r="F359" t="s">
        <v>35</v>
      </c>
      <c r="G359" t="s">
        <v>169</v>
      </c>
      <c r="H359" t="s">
        <v>157</v>
      </c>
      <c r="I359" t="s">
        <v>57</v>
      </c>
      <c r="J359" t="s">
        <v>47</v>
      </c>
      <c r="K359" t="s">
        <v>48</v>
      </c>
      <c r="L359" t="s">
        <v>66</v>
      </c>
      <c r="M359" t="s">
        <v>67</v>
      </c>
      <c r="N359">
        <v>10</v>
      </c>
      <c r="O359">
        <v>132200</v>
      </c>
      <c r="P359">
        <v>0.05</v>
      </c>
      <c r="Q359">
        <v>1255900</v>
      </c>
      <c r="R359">
        <v>825606.06</v>
      </c>
      <c r="S359">
        <v>430293.94</v>
      </c>
      <c r="T359" t="s">
        <v>31</v>
      </c>
      <c r="U359" t="str">
        <f t="shared" si="15"/>
        <v>2025-08</v>
      </c>
      <c r="V359">
        <f t="shared" si="16"/>
        <v>2</v>
      </c>
      <c r="W359" s="2">
        <f t="shared" si="17"/>
        <v>0.34261799506330121</v>
      </c>
    </row>
    <row r="360" spans="1:23">
      <c r="A360" t="s">
        <v>910</v>
      </c>
      <c r="B360" s="1">
        <v>45334</v>
      </c>
      <c r="C360" s="1">
        <v>45338</v>
      </c>
      <c r="D360" t="s">
        <v>560</v>
      </c>
      <c r="E360" t="s">
        <v>911</v>
      </c>
      <c r="F360" t="s">
        <v>35</v>
      </c>
      <c r="G360" t="s">
        <v>87</v>
      </c>
      <c r="H360" t="s">
        <v>88</v>
      </c>
      <c r="I360" t="s">
        <v>46</v>
      </c>
      <c r="J360" t="s">
        <v>27</v>
      </c>
      <c r="K360" t="s">
        <v>100</v>
      </c>
      <c r="L360" t="s">
        <v>105</v>
      </c>
      <c r="M360" t="s">
        <v>106</v>
      </c>
      <c r="N360">
        <v>2</v>
      </c>
      <c r="O360">
        <v>79800</v>
      </c>
      <c r="P360">
        <v>0</v>
      </c>
      <c r="Q360">
        <v>159600</v>
      </c>
      <c r="R360">
        <v>91827.29</v>
      </c>
      <c r="S360">
        <v>67772.710000000006</v>
      </c>
      <c r="T360" t="s">
        <v>73</v>
      </c>
      <c r="U360" t="str">
        <f t="shared" si="15"/>
        <v>2024-02</v>
      </c>
      <c r="V360">
        <f t="shared" si="16"/>
        <v>4</v>
      </c>
      <c r="W360" s="2">
        <f t="shared" si="17"/>
        <v>0.42464104010025067</v>
      </c>
    </row>
    <row r="361" spans="1:23">
      <c r="A361" t="s">
        <v>912</v>
      </c>
      <c r="B361" s="1">
        <v>45993</v>
      </c>
      <c r="C361" s="1">
        <v>45994</v>
      </c>
      <c r="D361" t="s">
        <v>242</v>
      </c>
      <c r="E361" t="s">
        <v>913</v>
      </c>
      <c r="F361" t="s">
        <v>23</v>
      </c>
      <c r="G361" t="s">
        <v>24</v>
      </c>
      <c r="H361" t="s">
        <v>25</v>
      </c>
      <c r="I361" t="s">
        <v>26</v>
      </c>
      <c r="J361" t="s">
        <v>47</v>
      </c>
      <c r="K361" t="s">
        <v>48</v>
      </c>
      <c r="L361" t="s">
        <v>66</v>
      </c>
      <c r="M361" t="s">
        <v>67</v>
      </c>
      <c r="N361">
        <v>5</v>
      </c>
      <c r="O361">
        <v>118500</v>
      </c>
      <c r="P361">
        <v>0</v>
      </c>
      <c r="Q361">
        <v>592500</v>
      </c>
      <c r="R361">
        <v>354742.39</v>
      </c>
      <c r="S361">
        <v>237757.61</v>
      </c>
      <c r="T361" t="s">
        <v>31</v>
      </c>
      <c r="U361" t="str">
        <f t="shared" si="15"/>
        <v>2025-12</v>
      </c>
      <c r="V361">
        <f t="shared" si="16"/>
        <v>1</v>
      </c>
      <c r="W361" s="2">
        <f t="shared" si="17"/>
        <v>0.40127866666666662</v>
      </c>
    </row>
    <row r="362" spans="1:23">
      <c r="A362" t="s">
        <v>914</v>
      </c>
      <c r="B362" s="1">
        <v>45492</v>
      </c>
      <c r="C362" s="1">
        <v>45497</v>
      </c>
      <c r="D362" t="s">
        <v>416</v>
      </c>
      <c r="E362" t="s">
        <v>150</v>
      </c>
      <c r="F362" t="s">
        <v>54</v>
      </c>
      <c r="G362" t="s">
        <v>140</v>
      </c>
      <c r="H362" t="s">
        <v>141</v>
      </c>
      <c r="I362" t="s">
        <v>46</v>
      </c>
      <c r="J362" t="s">
        <v>47</v>
      </c>
      <c r="K362" t="s">
        <v>173</v>
      </c>
      <c r="L362" t="s">
        <v>174</v>
      </c>
      <c r="M362" t="s">
        <v>175</v>
      </c>
      <c r="N362">
        <v>3</v>
      </c>
      <c r="O362">
        <v>4390300</v>
      </c>
      <c r="P362">
        <v>0.15</v>
      </c>
      <c r="Q362">
        <v>11195265</v>
      </c>
      <c r="R362">
        <v>9703666.1099999994</v>
      </c>
      <c r="S362">
        <v>1491598.89</v>
      </c>
      <c r="T362" t="s">
        <v>40</v>
      </c>
      <c r="U362" t="str">
        <f t="shared" si="15"/>
        <v>2024-07</v>
      </c>
      <c r="V362">
        <f t="shared" si="16"/>
        <v>5</v>
      </c>
      <c r="W362" s="2">
        <f t="shared" si="17"/>
        <v>0.13323479971219976</v>
      </c>
    </row>
    <row r="363" spans="1:23">
      <c r="A363" t="s">
        <v>915</v>
      </c>
      <c r="B363" s="1">
        <v>45620</v>
      </c>
      <c r="C363" s="1">
        <v>45627</v>
      </c>
      <c r="D363" t="s">
        <v>916</v>
      </c>
      <c r="E363" t="s">
        <v>917</v>
      </c>
      <c r="F363" t="s">
        <v>35</v>
      </c>
      <c r="G363" t="s">
        <v>156</v>
      </c>
      <c r="H363" t="s">
        <v>157</v>
      </c>
      <c r="I363" t="s">
        <v>57</v>
      </c>
      <c r="J363" t="s">
        <v>27</v>
      </c>
      <c r="K363" t="s">
        <v>100</v>
      </c>
      <c r="L363" t="s">
        <v>101</v>
      </c>
      <c r="M363" t="s">
        <v>102</v>
      </c>
      <c r="N363">
        <v>1</v>
      </c>
      <c r="O363">
        <v>55200</v>
      </c>
      <c r="P363">
        <v>0.3</v>
      </c>
      <c r="Q363">
        <v>38640</v>
      </c>
      <c r="R363">
        <v>31954.3</v>
      </c>
      <c r="S363">
        <v>6685.7</v>
      </c>
      <c r="T363" t="s">
        <v>31</v>
      </c>
      <c r="U363" t="str">
        <f t="shared" si="15"/>
        <v>2024-11</v>
      </c>
      <c r="V363">
        <f t="shared" si="16"/>
        <v>7</v>
      </c>
      <c r="W363" s="2">
        <f t="shared" si="17"/>
        <v>0.17302536231884058</v>
      </c>
    </row>
    <row r="364" spans="1:23">
      <c r="A364" t="s">
        <v>918</v>
      </c>
      <c r="B364" s="1">
        <v>45825</v>
      </c>
      <c r="C364" s="1">
        <v>45831</v>
      </c>
      <c r="D364" t="s">
        <v>296</v>
      </c>
      <c r="E364" t="s">
        <v>514</v>
      </c>
      <c r="F364" t="s">
        <v>35</v>
      </c>
      <c r="G364" t="s">
        <v>156</v>
      </c>
      <c r="H364" t="s">
        <v>157</v>
      </c>
      <c r="I364" t="s">
        <v>57</v>
      </c>
      <c r="J364" t="s">
        <v>47</v>
      </c>
      <c r="K364" t="s">
        <v>48</v>
      </c>
      <c r="L364" t="s">
        <v>225</v>
      </c>
      <c r="M364" t="s">
        <v>226</v>
      </c>
      <c r="N364">
        <v>6</v>
      </c>
      <c r="O364">
        <v>231600</v>
      </c>
      <c r="P364">
        <v>0.05</v>
      </c>
      <c r="Q364">
        <v>1320120</v>
      </c>
      <c r="R364">
        <v>824015.76</v>
      </c>
      <c r="S364">
        <v>496104.24</v>
      </c>
      <c r="T364" t="s">
        <v>60</v>
      </c>
      <c r="U364" t="str">
        <f t="shared" si="15"/>
        <v>2025-06</v>
      </c>
      <c r="V364">
        <f t="shared" si="16"/>
        <v>6</v>
      </c>
      <c r="W364" s="2">
        <f t="shared" si="17"/>
        <v>0.37580238160167256</v>
      </c>
    </row>
    <row r="365" spans="1:23">
      <c r="A365" t="s">
        <v>919</v>
      </c>
      <c r="B365" s="1">
        <v>45309</v>
      </c>
      <c r="C365" s="1">
        <v>45314</v>
      </c>
      <c r="D365" t="s">
        <v>328</v>
      </c>
      <c r="E365" t="s">
        <v>920</v>
      </c>
      <c r="F365" t="s">
        <v>23</v>
      </c>
      <c r="G365" t="s">
        <v>64</v>
      </c>
      <c r="H365" t="s">
        <v>65</v>
      </c>
      <c r="I365" t="s">
        <v>57</v>
      </c>
      <c r="J365" t="s">
        <v>36</v>
      </c>
      <c r="K365" t="s">
        <v>37</v>
      </c>
      <c r="L365" t="s">
        <v>58</v>
      </c>
      <c r="M365" t="s">
        <v>59</v>
      </c>
      <c r="N365">
        <v>1</v>
      </c>
      <c r="O365">
        <v>812700</v>
      </c>
      <c r="P365">
        <v>0</v>
      </c>
      <c r="Q365">
        <v>812700</v>
      </c>
      <c r="R365">
        <v>519927.27</v>
      </c>
      <c r="S365">
        <v>292772.73</v>
      </c>
      <c r="T365" t="s">
        <v>73</v>
      </c>
      <c r="U365" t="str">
        <f t="shared" si="15"/>
        <v>2024-01</v>
      </c>
      <c r="V365">
        <f t="shared" si="16"/>
        <v>5</v>
      </c>
      <c r="W365" s="2">
        <f t="shared" si="17"/>
        <v>0.36024699150978218</v>
      </c>
    </row>
    <row r="366" spans="1:23">
      <c r="A366" t="s">
        <v>921</v>
      </c>
      <c r="B366" s="1">
        <v>45963</v>
      </c>
      <c r="C366" s="1">
        <v>45967</v>
      </c>
      <c r="D366" t="s">
        <v>537</v>
      </c>
      <c r="E366" t="s">
        <v>386</v>
      </c>
      <c r="F366" t="s">
        <v>54</v>
      </c>
      <c r="G366" t="s">
        <v>55</v>
      </c>
      <c r="H366" t="s">
        <v>56</v>
      </c>
      <c r="I366" t="s">
        <v>57</v>
      </c>
      <c r="J366" t="s">
        <v>27</v>
      </c>
      <c r="K366" t="s">
        <v>100</v>
      </c>
      <c r="L366" t="s">
        <v>101</v>
      </c>
      <c r="M366" t="s">
        <v>102</v>
      </c>
      <c r="N366">
        <v>2</v>
      </c>
      <c r="O366">
        <v>53000</v>
      </c>
      <c r="P366">
        <v>0.25</v>
      </c>
      <c r="Q366">
        <v>79500</v>
      </c>
      <c r="R366">
        <v>61592.58</v>
      </c>
      <c r="S366">
        <v>17907.419999999998</v>
      </c>
      <c r="T366" t="s">
        <v>73</v>
      </c>
      <c r="U366" t="str">
        <f t="shared" si="15"/>
        <v>2025-11</v>
      </c>
      <c r="V366">
        <f t="shared" si="16"/>
        <v>4</v>
      </c>
      <c r="W366" s="2">
        <f t="shared" si="17"/>
        <v>0.22525056603773583</v>
      </c>
    </row>
    <row r="367" spans="1:23">
      <c r="A367" t="s">
        <v>922</v>
      </c>
      <c r="B367" s="1">
        <v>45945</v>
      </c>
      <c r="C367" s="1">
        <v>45952</v>
      </c>
      <c r="D367" t="s">
        <v>773</v>
      </c>
      <c r="E367" t="s">
        <v>923</v>
      </c>
      <c r="F367" t="s">
        <v>23</v>
      </c>
      <c r="G367" t="s">
        <v>95</v>
      </c>
      <c r="H367" t="s">
        <v>96</v>
      </c>
      <c r="I367" t="s">
        <v>26</v>
      </c>
      <c r="J367" t="s">
        <v>36</v>
      </c>
      <c r="K367" t="s">
        <v>37</v>
      </c>
      <c r="L367" t="s">
        <v>38</v>
      </c>
      <c r="M367" t="s">
        <v>39</v>
      </c>
      <c r="N367">
        <v>1</v>
      </c>
      <c r="O367">
        <v>994800</v>
      </c>
      <c r="P367">
        <v>0</v>
      </c>
      <c r="Q367">
        <v>994800</v>
      </c>
      <c r="R367">
        <v>716087.97</v>
      </c>
      <c r="S367">
        <v>278712.03000000003</v>
      </c>
      <c r="T367" t="s">
        <v>60</v>
      </c>
      <c r="U367" t="str">
        <f t="shared" si="15"/>
        <v>2025-10</v>
      </c>
      <c r="V367">
        <f t="shared" si="16"/>
        <v>7</v>
      </c>
      <c r="W367" s="2">
        <f t="shared" si="17"/>
        <v>0.28016890832328106</v>
      </c>
    </row>
    <row r="368" spans="1:23">
      <c r="A368" t="s">
        <v>924</v>
      </c>
      <c r="B368" s="1">
        <v>44991</v>
      </c>
      <c r="C368" s="1">
        <v>44993</v>
      </c>
      <c r="D368" t="s">
        <v>328</v>
      </c>
      <c r="E368" t="s">
        <v>925</v>
      </c>
      <c r="F368" t="s">
        <v>23</v>
      </c>
      <c r="G368" t="s">
        <v>44</v>
      </c>
      <c r="H368" t="s">
        <v>45</v>
      </c>
      <c r="I368" t="s">
        <v>46</v>
      </c>
      <c r="J368" t="s">
        <v>47</v>
      </c>
      <c r="K368" t="s">
        <v>173</v>
      </c>
      <c r="L368" t="s">
        <v>174</v>
      </c>
      <c r="M368" t="s">
        <v>175</v>
      </c>
      <c r="N368">
        <v>3</v>
      </c>
      <c r="O368">
        <v>4773700</v>
      </c>
      <c r="P368">
        <v>0.15</v>
      </c>
      <c r="Q368">
        <v>12172935</v>
      </c>
      <c r="R368">
        <v>10561152.58</v>
      </c>
      <c r="S368">
        <v>1611782.42</v>
      </c>
      <c r="T368" t="s">
        <v>40</v>
      </c>
      <c r="U368" t="str">
        <f t="shared" si="15"/>
        <v>2023-03</v>
      </c>
      <c r="V368">
        <f t="shared" si="16"/>
        <v>2</v>
      </c>
      <c r="W368" s="2">
        <f t="shared" si="17"/>
        <v>0.13240705055929403</v>
      </c>
    </row>
    <row r="369" spans="1:23">
      <c r="A369" t="s">
        <v>926</v>
      </c>
      <c r="B369" s="1">
        <v>45072</v>
      </c>
      <c r="C369" s="1">
        <v>45073</v>
      </c>
      <c r="D369" t="s">
        <v>516</v>
      </c>
      <c r="E369" t="s">
        <v>927</v>
      </c>
      <c r="F369" t="s">
        <v>54</v>
      </c>
      <c r="G369" t="s">
        <v>64</v>
      </c>
      <c r="H369" t="s">
        <v>65</v>
      </c>
      <c r="I369" t="s">
        <v>57</v>
      </c>
      <c r="J369" t="s">
        <v>27</v>
      </c>
      <c r="K369" t="s">
        <v>28</v>
      </c>
      <c r="L369" t="s">
        <v>29</v>
      </c>
      <c r="M369" t="s">
        <v>30</v>
      </c>
      <c r="N369">
        <v>2</v>
      </c>
      <c r="O369">
        <v>70800</v>
      </c>
      <c r="P369">
        <v>0.05</v>
      </c>
      <c r="Q369">
        <v>134520</v>
      </c>
      <c r="R369">
        <v>80031.199999999997</v>
      </c>
      <c r="S369">
        <v>54488.800000000003</v>
      </c>
      <c r="T369" t="s">
        <v>31</v>
      </c>
      <c r="U369" t="str">
        <f t="shared" si="15"/>
        <v>2023-05</v>
      </c>
      <c r="V369">
        <f t="shared" si="16"/>
        <v>1</v>
      </c>
      <c r="W369" s="2">
        <f t="shared" si="17"/>
        <v>0.4050609574784419</v>
      </c>
    </row>
    <row r="370" spans="1:23">
      <c r="A370" t="s">
        <v>928</v>
      </c>
      <c r="B370" s="1">
        <v>45046</v>
      </c>
      <c r="C370" s="1">
        <v>45053</v>
      </c>
      <c r="D370" t="s">
        <v>929</v>
      </c>
      <c r="E370" t="s">
        <v>930</v>
      </c>
      <c r="F370" t="s">
        <v>35</v>
      </c>
      <c r="G370" t="s">
        <v>140</v>
      </c>
      <c r="H370" t="s">
        <v>141</v>
      </c>
      <c r="I370" t="s">
        <v>46</v>
      </c>
      <c r="J370" t="s">
        <v>36</v>
      </c>
      <c r="K370" t="s">
        <v>37</v>
      </c>
      <c r="L370" t="s">
        <v>38</v>
      </c>
      <c r="M370" t="s">
        <v>39</v>
      </c>
      <c r="N370">
        <v>1</v>
      </c>
      <c r="O370">
        <v>928500</v>
      </c>
      <c r="P370">
        <v>0.05</v>
      </c>
      <c r="Q370">
        <v>882075</v>
      </c>
      <c r="R370">
        <v>608119.5</v>
      </c>
      <c r="S370">
        <v>273955.5</v>
      </c>
      <c r="T370" t="s">
        <v>60</v>
      </c>
      <c r="U370" t="str">
        <f t="shared" si="15"/>
        <v>2023-04</v>
      </c>
      <c r="V370">
        <f t="shared" si="16"/>
        <v>7</v>
      </c>
      <c r="W370" s="2">
        <f t="shared" si="17"/>
        <v>0.31058073293087324</v>
      </c>
    </row>
    <row r="371" spans="1:23">
      <c r="A371" t="s">
        <v>931</v>
      </c>
      <c r="B371" s="1">
        <v>45315</v>
      </c>
      <c r="C371" s="1">
        <v>45317</v>
      </c>
      <c r="D371" t="s">
        <v>317</v>
      </c>
      <c r="E371" t="s">
        <v>932</v>
      </c>
      <c r="F371" t="s">
        <v>35</v>
      </c>
      <c r="G371" t="s">
        <v>55</v>
      </c>
      <c r="H371" t="s">
        <v>56</v>
      </c>
      <c r="I371" t="s">
        <v>57</v>
      </c>
      <c r="J371" t="s">
        <v>36</v>
      </c>
      <c r="K371" t="s">
        <v>81</v>
      </c>
      <c r="L371" t="s">
        <v>82</v>
      </c>
      <c r="M371" t="s">
        <v>83</v>
      </c>
      <c r="N371">
        <v>3</v>
      </c>
      <c r="O371">
        <v>664800</v>
      </c>
      <c r="P371">
        <v>0.15</v>
      </c>
      <c r="Q371">
        <v>1695240</v>
      </c>
      <c r="R371">
        <v>1339747.73</v>
      </c>
      <c r="S371">
        <v>355492.27</v>
      </c>
      <c r="T371" t="s">
        <v>73</v>
      </c>
      <c r="U371" t="str">
        <f t="shared" si="15"/>
        <v>2024-01</v>
      </c>
      <c r="V371">
        <f t="shared" si="16"/>
        <v>2</v>
      </c>
      <c r="W371" s="2">
        <f t="shared" si="17"/>
        <v>0.20970026073004414</v>
      </c>
    </row>
    <row r="372" spans="1:23">
      <c r="A372" t="s">
        <v>933</v>
      </c>
      <c r="B372" s="1">
        <v>45801</v>
      </c>
      <c r="C372" s="1">
        <v>45802</v>
      </c>
      <c r="D372" t="s">
        <v>934</v>
      </c>
      <c r="E372" t="s">
        <v>648</v>
      </c>
      <c r="F372" t="s">
        <v>23</v>
      </c>
      <c r="G372" t="s">
        <v>87</v>
      </c>
      <c r="H372" t="s">
        <v>88</v>
      </c>
      <c r="I372" t="s">
        <v>46</v>
      </c>
      <c r="J372" t="s">
        <v>47</v>
      </c>
      <c r="K372" t="s">
        <v>173</v>
      </c>
      <c r="L372" t="s">
        <v>203</v>
      </c>
      <c r="M372" t="s">
        <v>204</v>
      </c>
      <c r="N372">
        <v>3</v>
      </c>
      <c r="O372">
        <v>3255900</v>
      </c>
      <c r="P372">
        <v>0.1</v>
      </c>
      <c r="Q372">
        <v>8790930</v>
      </c>
      <c r="R372">
        <v>7953171.6900000004</v>
      </c>
      <c r="S372">
        <v>837758.31</v>
      </c>
      <c r="T372" t="s">
        <v>60</v>
      </c>
      <c r="U372" t="str">
        <f t="shared" si="15"/>
        <v>2025-05</v>
      </c>
      <c r="V372">
        <f t="shared" si="16"/>
        <v>1</v>
      </c>
      <c r="W372" s="2">
        <f t="shared" si="17"/>
        <v>9.5298029901273257E-2</v>
      </c>
    </row>
    <row r="373" spans="1:23">
      <c r="A373" t="s">
        <v>935</v>
      </c>
      <c r="B373" s="1">
        <v>45688</v>
      </c>
      <c r="C373" s="1">
        <v>45692</v>
      </c>
      <c r="D373" t="s">
        <v>936</v>
      </c>
      <c r="E373" t="s">
        <v>937</v>
      </c>
      <c r="F373" t="s">
        <v>35</v>
      </c>
      <c r="G373" t="s">
        <v>156</v>
      </c>
      <c r="H373" t="s">
        <v>157</v>
      </c>
      <c r="I373" t="s">
        <v>57</v>
      </c>
      <c r="J373" t="s">
        <v>27</v>
      </c>
      <c r="K373" t="s">
        <v>116</v>
      </c>
      <c r="L373" t="s">
        <v>117</v>
      </c>
      <c r="M373" t="s">
        <v>118</v>
      </c>
      <c r="N373">
        <v>2</v>
      </c>
      <c r="O373">
        <v>27600</v>
      </c>
      <c r="P373">
        <v>0.15</v>
      </c>
      <c r="Q373">
        <v>46920</v>
      </c>
      <c r="R373">
        <v>26961.48</v>
      </c>
      <c r="S373">
        <v>19958.52</v>
      </c>
      <c r="T373" t="s">
        <v>73</v>
      </c>
      <c r="U373" t="str">
        <f t="shared" si="15"/>
        <v>2025-01</v>
      </c>
      <c r="V373">
        <f t="shared" si="16"/>
        <v>4</v>
      </c>
      <c r="W373" s="2">
        <f t="shared" si="17"/>
        <v>0.42537340153452685</v>
      </c>
    </row>
    <row r="374" spans="1:23">
      <c r="A374" t="s">
        <v>938</v>
      </c>
      <c r="B374" s="1">
        <v>44927</v>
      </c>
      <c r="C374" s="1">
        <v>44933</v>
      </c>
      <c r="D374" t="s">
        <v>934</v>
      </c>
      <c r="E374" t="s">
        <v>939</v>
      </c>
      <c r="F374" t="s">
        <v>23</v>
      </c>
      <c r="G374" t="s">
        <v>55</v>
      </c>
      <c r="H374" t="s">
        <v>56</v>
      </c>
      <c r="I374" t="s">
        <v>57</v>
      </c>
      <c r="J374" t="s">
        <v>47</v>
      </c>
      <c r="K374" t="s">
        <v>48</v>
      </c>
      <c r="L374" t="s">
        <v>66</v>
      </c>
      <c r="M374" t="s">
        <v>67</v>
      </c>
      <c r="N374">
        <v>10</v>
      </c>
      <c r="O374">
        <v>120800</v>
      </c>
      <c r="P374">
        <v>0</v>
      </c>
      <c r="Q374">
        <v>1208000</v>
      </c>
      <c r="R374">
        <v>685818.15</v>
      </c>
      <c r="S374">
        <v>522181.85</v>
      </c>
      <c r="T374" t="s">
        <v>73</v>
      </c>
      <c r="U374" t="str">
        <f t="shared" si="15"/>
        <v>2023-01</v>
      </c>
      <c r="V374">
        <f t="shared" si="16"/>
        <v>6</v>
      </c>
      <c r="W374" s="2">
        <f t="shared" si="17"/>
        <v>0.43226974337748342</v>
      </c>
    </row>
    <row r="375" spans="1:23">
      <c r="A375" t="s">
        <v>940</v>
      </c>
      <c r="B375" s="1">
        <v>45492</v>
      </c>
      <c r="C375" s="1">
        <v>45497</v>
      </c>
      <c r="D375" t="s">
        <v>751</v>
      </c>
      <c r="E375" t="s">
        <v>885</v>
      </c>
      <c r="F375" t="s">
        <v>23</v>
      </c>
      <c r="G375" t="s">
        <v>55</v>
      </c>
      <c r="H375" t="s">
        <v>56</v>
      </c>
      <c r="I375" t="s">
        <v>57</v>
      </c>
      <c r="J375" t="s">
        <v>36</v>
      </c>
      <c r="K375" t="s">
        <v>37</v>
      </c>
      <c r="L375" t="s">
        <v>38</v>
      </c>
      <c r="M375" t="s">
        <v>39</v>
      </c>
      <c r="N375">
        <v>2</v>
      </c>
      <c r="O375">
        <v>915700</v>
      </c>
      <c r="P375">
        <v>0</v>
      </c>
      <c r="Q375">
        <v>1831400</v>
      </c>
      <c r="R375">
        <v>1327110.97</v>
      </c>
      <c r="S375">
        <v>504289.03</v>
      </c>
      <c r="T375" t="s">
        <v>31</v>
      </c>
      <c r="U375" t="str">
        <f t="shared" si="15"/>
        <v>2024-07</v>
      </c>
      <c r="V375">
        <f t="shared" si="16"/>
        <v>5</v>
      </c>
      <c r="W375" s="2">
        <f t="shared" si="17"/>
        <v>0.27535712023588516</v>
      </c>
    </row>
    <row r="376" spans="1:23">
      <c r="A376" t="s">
        <v>941</v>
      </c>
      <c r="B376" s="1">
        <v>45542</v>
      </c>
      <c r="C376" s="1">
        <v>45543</v>
      </c>
      <c r="D376" t="s">
        <v>618</v>
      </c>
      <c r="E376" t="s">
        <v>63</v>
      </c>
      <c r="F376" t="s">
        <v>35</v>
      </c>
      <c r="G376" t="s">
        <v>24</v>
      </c>
      <c r="H376" t="s">
        <v>25</v>
      </c>
      <c r="I376" t="s">
        <v>26</v>
      </c>
      <c r="J376" t="s">
        <v>36</v>
      </c>
      <c r="K376" t="s">
        <v>37</v>
      </c>
      <c r="L376" t="s">
        <v>38</v>
      </c>
      <c r="M376" t="s">
        <v>39</v>
      </c>
      <c r="N376">
        <v>4</v>
      </c>
      <c r="O376">
        <v>919300</v>
      </c>
      <c r="P376">
        <v>0.2</v>
      </c>
      <c r="Q376">
        <v>2941760</v>
      </c>
      <c r="R376">
        <v>2599634.0699999998</v>
      </c>
      <c r="S376">
        <v>342125.93</v>
      </c>
      <c r="T376" t="s">
        <v>60</v>
      </c>
      <c r="U376" t="str">
        <f t="shared" si="15"/>
        <v>2024-09</v>
      </c>
      <c r="V376">
        <f t="shared" si="16"/>
        <v>1</v>
      </c>
      <c r="W376" s="2">
        <f t="shared" si="17"/>
        <v>0.1162997423311215</v>
      </c>
    </row>
    <row r="377" spans="1:23">
      <c r="A377" t="s">
        <v>942</v>
      </c>
      <c r="B377" s="1">
        <v>45542</v>
      </c>
      <c r="C377" s="1">
        <v>45543</v>
      </c>
      <c r="D377" t="s">
        <v>943</v>
      </c>
      <c r="E377" t="s">
        <v>801</v>
      </c>
      <c r="F377" t="s">
        <v>35</v>
      </c>
      <c r="G377" t="s">
        <v>44</v>
      </c>
      <c r="H377" t="s">
        <v>45</v>
      </c>
      <c r="I377" t="s">
        <v>46</v>
      </c>
      <c r="J377" t="s">
        <v>27</v>
      </c>
      <c r="K377" t="s">
        <v>116</v>
      </c>
      <c r="L377" t="s">
        <v>117</v>
      </c>
      <c r="M377" t="s">
        <v>118</v>
      </c>
      <c r="N377">
        <v>2</v>
      </c>
      <c r="O377">
        <v>29200</v>
      </c>
      <c r="P377">
        <v>0.05</v>
      </c>
      <c r="Q377">
        <v>55480</v>
      </c>
      <c r="R377">
        <v>30413.599999999999</v>
      </c>
      <c r="S377">
        <v>25066.400000000001</v>
      </c>
      <c r="T377" t="s">
        <v>60</v>
      </c>
      <c r="U377" t="str">
        <f t="shared" si="15"/>
        <v>2024-09</v>
      </c>
      <c r="V377">
        <f t="shared" si="16"/>
        <v>1</v>
      </c>
      <c r="W377" s="2">
        <f t="shared" si="17"/>
        <v>0.45180966113914928</v>
      </c>
    </row>
    <row r="378" spans="1:23">
      <c r="A378" t="s">
        <v>944</v>
      </c>
      <c r="B378" s="1">
        <v>44950</v>
      </c>
      <c r="C378" s="1">
        <v>44956</v>
      </c>
      <c r="D378" t="s">
        <v>290</v>
      </c>
      <c r="E378" t="s">
        <v>810</v>
      </c>
      <c r="F378" t="s">
        <v>23</v>
      </c>
      <c r="G378" t="s">
        <v>140</v>
      </c>
      <c r="H378" t="s">
        <v>141</v>
      </c>
      <c r="I378" t="s">
        <v>46</v>
      </c>
      <c r="J378" t="s">
        <v>27</v>
      </c>
      <c r="K378" t="s">
        <v>116</v>
      </c>
      <c r="L378" t="s">
        <v>117</v>
      </c>
      <c r="M378" t="s">
        <v>118</v>
      </c>
      <c r="N378">
        <v>2</v>
      </c>
      <c r="O378">
        <v>27700</v>
      </c>
      <c r="P378">
        <v>0.05</v>
      </c>
      <c r="Q378">
        <v>52630</v>
      </c>
      <c r="R378">
        <v>28251.11</v>
      </c>
      <c r="S378">
        <v>24378.89</v>
      </c>
      <c r="T378" t="s">
        <v>31</v>
      </c>
      <c r="U378" t="str">
        <f t="shared" si="15"/>
        <v>2023-01</v>
      </c>
      <c r="V378">
        <f t="shared" si="16"/>
        <v>6</v>
      </c>
      <c r="W378" s="2">
        <f t="shared" si="17"/>
        <v>0.46321280638419149</v>
      </c>
    </row>
    <row r="379" spans="1:23">
      <c r="A379" t="s">
        <v>945</v>
      </c>
      <c r="B379" s="1">
        <v>45731</v>
      </c>
      <c r="C379" s="1">
        <v>45735</v>
      </c>
      <c r="D379" t="s">
        <v>429</v>
      </c>
      <c r="E379" t="s">
        <v>147</v>
      </c>
      <c r="F379" t="s">
        <v>23</v>
      </c>
      <c r="G379" t="s">
        <v>24</v>
      </c>
      <c r="H379" t="s">
        <v>25</v>
      </c>
      <c r="I379" t="s">
        <v>26</v>
      </c>
      <c r="J379" t="s">
        <v>27</v>
      </c>
      <c r="K379" t="s">
        <v>100</v>
      </c>
      <c r="L379" t="s">
        <v>105</v>
      </c>
      <c r="M379" t="s">
        <v>106</v>
      </c>
      <c r="N379">
        <v>1</v>
      </c>
      <c r="O379">
        <v>74000</v>
      </c>
      <c r="P379">
        <v>0.05</v>
      </c>
      <c r="Q379">
        <v>70300</v>
      </c>
      <c r="R379">
        <v>44932.56</v>
      </c>
      <c r="S379">
        <v>25367.439999999999</v>
      </c>
      <c r="T379" t="s">
        <v>40</v>
      </c>
      <c r="U379" t="str">
        <f t="shared" si="15"/>
        <v>2025-03</v>
      </c>
      <c r="V379">
        <f t="shared" si="16"/>
        <v>4</v>
      </c>
      <c r="W379" s="2">
        <f t="shared" si="17"/>
        <v>0.3608455192034139</v>
      </c>
    </row>
    <row r="380" spans="1:23">
      <c r="A380" t="s">
        <v>946</v>
      </c>
      <c r="B380" s="1">
        <v>45743</v>
      </c>
      <c r="C380" s="1">
        <v>45748</v>
      </c>
      <c r="D380" t="s">
        <v>908</v>
      </c>
      <c r="E380" t="s">
        <v>947</v>
      </c>
      <c r="F380" t="s">
        <v>35</v>
      </c>
      <c r="G380" t="s">
        <v>80</v>
      </c>
      <c r="H380" t="s">
        <v>45</v>
      </c>
      <c r="I380" t="s">
        <v>46</v>
      </c>
      <c r="J380" t="s">
        <v>36</v>
      </c>
      <c r="K380" t="s">
        <v>37</v>
      </c>
      <c r="L380" t="s">
        <v>58</v>
      </c>
      <c r="M380" t="s">
        <v>59</v>
      </c>
      <c r="N380">
        <v>3</v>
      </c>
      <c r="O380">
        <v>876400</v>
      </c>
      <c r="P380">
        <v>0.1</v>
      </c>
      <c r="Q380">
        <v>2366280</v>
      </c>
      <c r="R380">
        <v>1667097.87</v>
      </c>
      <c r="S380">
        <v>699182.13</v>
      </c>
      <c r="T380" t="s">
        <v>40</v>
      </c>
      <c r="U380" t="str">
        <f t="shared" si="15"/>
        <v>2025-03</v>
      </c>
      <c r="V380">
        <f t="shared" si="16"/>
        <v>5</v>
      </c>
      <c r="W380" s="2">
        <f t="shared" si="17"/>
        <v>0.29547734418581062</v>
      </c>
    </row>
    <row r="381" spans="1:23">
      <c r="A381" t="s">
        <v>948</v>
      </c>
      <c r="B381" s="1">
        <v>45472</v>
      </c>
      <c r="C381" s="1">
        <v>45479</v>
      </c>
      <c r="D381" t="s">
        <v>949</v>
      </c>
      <c r="E381" t="s">
        <v>950</v>
      </c>
      <c r="F381" t="s">
        <v>23</v>
      </c>
      <c r="G381" t="s">
        <v>55</v>
      </c>
      <c r="H381" t="s">
        <v>56</v>
      </c>
      <c r="I381" t="s">
        <v>57</v>
      </c>
      <c r="J381" t="s">
        <v>36</v>
      </c>
      <c r="K381" t="s">
        <v>37</v>
      </c>
      <c r="L381" t="s">
        <v>58</v>
      </c>
      <c r="M381" t="s">
        <v>59</v>
      </c>
      <c r="N381">
        <v>2</v>
      </c>
      <c r="O381">
        <v>849700</v>
      </c>
      <c r="P381">
        <v>0.05</v>
      </c>
      <c r="Q381">
        <v>1614430</v>
      </c>
      <c r="R381">
        <v>1134659.8400000001</v>
      </c>
      <c r="S381">
        <v>479770.16</v>
      </c>
      <c r="T381" t="s">
        <v>40</v>
      </c>
      <c r="U381" t="str">
        <f t="shared" si="15"/>
        <v>2024-06</v>
      </c>
      <c r="V381">
        <f t="shared" si="16"/>
        <v>7</v>
      </c>
      <c r="W381" s="2">
        <f t="shared" si="17"/>
        <v>0.29717619221644792</v>
      </c>
    </row>
    <row r="382" spans="1:23">
      <c r="A382" t="s">
        <v>951</v>
      </c>
      <c r="B382" s="1">
        <v>45273</v>
      </c>
      <c r="C382" s="1">
        <v>45276</v>
      </c>
      <c r="D382" t="s">
        <v>385</v>
      </c>
      <c r="E382" t="s">
        <v>952</v>
      </c>
      <c r="F382" t="s">
        <v>23</v>
      </c>
      <c r="G382" t="s">
        <v>55</v>
      </c>
      <c r="H382" t="s">
        <v>56</v>
      </c>
      <c r="I382" t="s">
        <v>57</v>
      </c>
      <c r="J382" t="s">
        <v>36</v>
      </c>
      <c r="K382" t="s">
        <v>89</v>
      </c>
      <c r="L382" t="s">
        <v>90</v>
      </c>
      <c r="M382" t="s">
        <v>91</v>
      </c>
      <c r="N382">
        <v>6</v>
      </c>
      <c r="O382">
        <v>2996800</v>
      </c>
      <c r="P382">
        <v>0.1</v>
      </c>
      <c r="Q382">
        <v>16182720</v>
      </c>
      <c r="R382">
        <v>12212473.07</v>
      </c>
      <c r="S382">
        <v>3970246.93</v>
      </c>
      <c r="T382" t="s">
        <v>31</v>
      </c>
      <c r="U382" t="str">
        <f t="shared" si="15"/>
        <v>2023-12</v>
      </c>
      <c r="V382">
        <f t="shared" si="16"/>
        <v>3</v>
      </c>
      <c r="W382" s="2">
        <f t="shared" si="17"/>
        <v>0.24533866556425621</v>
      </c>
    </row>
    <row r="383" spans="1:23">
      <c r="A383" t="s">
        <v>953</v>
      </c>
      <c r="B383" s="1">
        <v>45038</v>
      </c>
      <c r="C383" s="1">
        <v>45040</v>
      </c>
      <c r="D383" t="s">
        <v>710</v>
      </c>
      <c r="E383" t="s">
        <v>954</v>
      </c>
      <c r="F383" t="s">
        <v>23</v>
      </c>
      <c r="G383" t="s">
        <v>95</v>
      </c>
      <c r="H383" t="s">
        <v>96</v>
      </c>
      <c r="I383" t="s">
        <v>26</v>
      </c>
      <c r="J383" t="s">
        <v>27</v>
      </c>
      <c r="K383" t="s">
        <v>28</v>
      </c>
      <c r="L383" t="s">
        <v>71</v>
      </c>
      <c r="M383" t="s">
        <v>72</v>
      </c>
      <c r="N383">
        <v>2</v>
      </c>
      <c r="O383">
        <v>45200</v>
      </c>
      <c r="P383">
        <v>0.05</v>
      </c>
      <c r="Q383">
        <v>85880</v>
      </c>
      <c r="R383">
        <v>49179.85</v>
      </c>
      <c r="S383">
        <v>36700.15</v>
      </c>
      <c r="T383" t="s">
        <v>31</v>
      </c>
      <c r="U383" t="str">
        <f t="shared" si="15"/>
        <v>2023-04</v>
      </c>
      <c r="V383">
        <f t="shared" si="16"/>
        <v>2</v>
      </c>
      <c r="W383" s="2">
        <f t="shared" si="17"/>
        <v>0.42734222170470426</v>
      </c>
    </row>
    <row r="384" spans="1:23">
      <c r="A384" t="s">
        <v>955</v>
      </c>
      <c r="B384" s="1">
        <v>45998</v>
      </c>
      <c r="C384" s="1">
        <v>46005</v>
      </c>
      <c r="D384" t="s">
        <v>956</v>
      </c>
      <c r="E384" t="s">
        <v>571</v>
      </c>
      <c r="F384" t="s">
        <v>35</v>
      </c>
      <c r="G384" t="s">
        <v>55</v>
      </c>
      <c r="H384" t="s">
        <v>56</v>
      </c>
      <c r="I384" t="s">
        <v>57</v>
      </c>
      <c r="J384" t="s">
        <v>47</v>
      </c>
      <c r="K384" t="s">
        <v>128</v>
      </c>
      <c r="L384" t="s">
        <v>129</v>
      </c>
      <c r="M384" t="s">
        <v>130</v>
      </c>
      <c r="N384">
        <v>3</v>
      </c>
      <c r="O384">
        <v>1518200</v>
      </c>
      <c r="P384">
        <v>0.05</v>
      </c>
      <c r="Q384">
        <v>4326870</v>
      </c>
      <c r="R384">
        <v>3501600.94</v>
      </c>
      <c r="S384">
        <v>825269.06</v>
      </c>
      <c r="T384" t="s">
        <v>73</v>
      </c>
      <c r="U384" t="str">
        <f t="shared" si="15"/>
        <v>2025-12</v>
      </c>
      <c r="V384">
        <f t="shared" si="16"/>
        <v>7</v>
      </c>
      <c r="W384" s="2">
        <f t="shared" si="17"/>
        <v>0.19073118905814135</v>
      </c>
    </row>
    <row r="385" spans="1:23">
      <c r="A385" t="s">
        <v>957</v>
      </c>
      <c r="B385" s="1">
        <v>45050</v>
      </c>
      <c r="C385" s="1">
        <v>45053</v>
      </c>
      <c r="D385" t="s">
        <v>958</v>
      </c>
      <c r="E385" t="s">
        <v>294</v>
      </c>
      <c r="F385" t="s">
        <v>23</v>
      </c>
      <c r="G385" t="s">
        <v>140</v>
      </c>
      <c r="H385" t="s">
        <v>141</v>
      </c>
      <c r="I385" t="s">
        <v>46</v>
      </c>
      <c r="J385" t="s">
        <v>47</v>
      </c>
      <c r="K385" t="s">
        <v>48</v>
      </c>
      <c r="L385" t="s">
        <v>66</v>
      </c>
      <c r="M385" t="s">
        <v>67</v>
      </c>
      <c r="N385">
        <v>1</v>
      </c>
      <c r="O385">
        <v>130700</v>
      </c>
      <c r="P385">
        <v>0.1</v>
      </c>
      <c r="Q385">
        <v>117630</v>
      </c>
      <c r="R385">
        <v>81011.820000000007</v>
      </c>
      <c r="S385">
        <v>36618.18</v>
      </c>
      <c r="T385" t="s">
        <v>31</v>
      </c>
      <c r="U385" t="str">
        <f t="shared" si="15"/>
        <v>2023-05</v>
      </c>
      <c r="V385">
        <f t="shared" si="16"/>
        <v>3</v>
      </c>
      <c r="W385" s="2">
        <f t="shared" si="17"/>
        <v>0.31129966845192553</v>
      </c>
    </row>
    <row r="386" spans="1:23">
      <c r="A386" t="s">
        <v>959</v>
      </c>
      <c r="B386" s="1">
        <v>44966</v>
      </c>
      <c r="C386" s="1">
        <v>44969</v>
      </c>
      <c r="D386" t="s">
        <v>269</v>
      </c>
      <c r="E386" t="s">
        <v>960</v>
      </c>
      <c r="F386" t="s">
        <v>54</v>
      </c>
      <c r="G386" t="s">
        <v>24</v>
      </c>
      <c r="H386" t="s">
        <v>25</v>
      </c>
      <c r="I386" t="s">
        <v>26</v>
      </c>
      <c r="J386" t="s">
        <v>27</v>
      </c>
      <c r="K386" t="s">
        <v>116</v>
      </c>
      <c r="L386" t="s">
        <v>117</v>
      </c>
      <c r="M386" t="s">
        <v>118</v>
      </c>
      <c r="N386">
        <v>6</v>
      </c>
      <c r="O386">
        <v>27200</v>
      </c>
      <c r="P386">
        <v>0.1</v>
      </c>
      <c r="Q386">
        <v>146880</v>
      </c>
      <c r="R386">
        <v>76884.649999999994</v>
      </c>
      <c r="S386">
        <v>69995.350000000006</v>
      </c>
      <c r="T386" t="s">
        <v>31</v>
      </c>
      <c r="U386" t="str">
        <f t="shared" si="15"/>
        <v>2023-02</v>
      </c>
      <c r="V386">
        <f t="shared" si="16"/>
        <v>3</v>
      </c>
      <c r="W386" s="2">
        <f t="shared" si="17"/>
        <v>0.47654786220043577</v>
      </c>
    </row>
    <row r="387" spans="1:23">
      <c r="A387" t="s">
        <v>961</v>
      </c>
      <c r="B387" s="1">
        <v>44971</v>
      </c>
      <c r="C387" s="1">
        <v>44972</v>
      </c>
      <c r="D387" t="s">
        <v>962</v>
      </c>
      <c r="E387" t="s">
        <v>442</v>
      </c>
      <c r="F387" t="s">
        <v>23</v>
      </c>
      <c r="G387" t="s">
        <v>156</v>
      </c>
      <c r="H387" t="s">
        <v>157</v>
      </c>
      <c r="I387" t="s">
        <v>57</v>
      </c>
      <c r="J387" t="s">
        <v>47</v>
      </c>
      <c r="K387" t="s">
        <v>48</v>
      </c>
      <c r="L387" t="s">
        <v>66</v>
      </c>
      <c r="M387" t="s">
        <v>67</v>
      </c>
      <c r="N387">
        <v>1</v>
      </c>
      <c r="O387">
        <v>131300</v>
      </c>
      <c r="P387">
        <v>0.05</v>
      </c>
      <c r="Q387">
        <v>124735</v>
      </c>
      <c r="R387">
        <v>75339.34</v>
      </c>
      <c r="S387">
        <v>49395.66</v>
      </c>
      <c r="T387" t="s">
        <v>73</v>
      </c>
      <c r="U387" t="str">
        <f t="shared" ref="U387:U450" si="18">TEXT(B387,"yyyy-mm")</f>
        <v>2023-02</v>
      </c>
      <c r="V387">
        <f t="shared" ref="V387:V450" si="19">C387-B387</f>
        <v>1</v>
      </c>
      <c r="W387" s="2">
        <f t="shared" ref="W387:W450" si="20">IF(Q387=0,0,S387/Q387)</f>
        <v>0.39600481019761896</v>
      </c>
    </row>
    <row r="388" spans="1:23">
      <c r="A388" t="s">
        <v>963</v>
      </c>
      <c r="B388" s="1">
        <v>45053</v>
      </c>
      <c r="C388" s="1">
        <v>45059</v>
      </c>
      <c r="D388" t="s">
        <v>964</v>
      </c>
      <c r="E388" t="s">
        <v>386</v>
      </c>
      <c r="F388" t="s">
        <v>54</v>
      </c>
      <c r="G388" t="s">
        <v>140</v>
      </c>
      <c r="H388" t="s">
        <v>141</v>
      </c>
      <c r="I388" t="s">
        <v>46</v>
      </c>
      <c r="J388" t="s">
        <v>47</v>
      </c>
      <c r="K388" t="s">
        <v>48</v>
      </c>
      <c r="L388" t="s">
        <v>225</v>
      </c>
      <c r="M388" t="s">
        <v>226</v>
      </c>
      <c r="N388">
        <v>1</v>
      </c>
      <c r="O388">
        <v>224300</v>
      </c>
      <c r="P388">
        <v>0.05</v>
      </c>
      <c r="Q388">
        <v>213085</v>
      </c>
      <c r="R388">
        <v>130252.43</v>
      </c>
      <c r="S388">
        <v>82832.570000000007</v>
      </c>
      <c r="T388" t="s">
        <v>60</v>
      </c>
      <c r="U388" t="str">
        <f t="shared" si="18"/>
        <v>2023-05</v>
      </c>
      <c r="V388">
        <f t="shared" si="19"/>
        <v>6</v>
      </c>
      <c r="W388" s="2">
        <f t="shared" si="20"/>
        <v>0.38873017809794219</v>
      </c>
    </row>
    <row r="389" spans="1:23">
      <c r="A389" t="s">
        <v>965</v>
      </c>
      <c r="B389" s="1">
        <v>45392</v>
      </c>
      <c r="C389" s="1">
        <v>45396</v>
      </c>
      <c r="D389" t="s">
        <v>966</v>
      </c>
      <c r="E389" t="s">
        <v>297</v>
      </c>
      <c r="F389" t="s">
        <v>54</v>
      </c>
      <c r="G389" t="s">
        <v>169</v>
      </c>
      <c r="H389" t="s">
        <v>157</v>
      </c>
      <c r="I389" t="s">
        <v>57</v>
      </c>
      <c r="J389" t="s">
        <v>47</v>
      </c>
      <c r="K389" t="s">
        <v>173</v>
      </c>
      <c r="L389" t="s">
        <v>203</v>
      </c>
      <c r="M389" t="s">
        <v>204</v>
      </c>
      <c r="N389">
        <v>2</v>
      </c>
      <c r="O389">
        <v>2972800</v>
      </c>
      <c r="P389">
        <v>0.1</v>
      </c>
      <c r="Q389">
        <v>5351040</v>
      </c>
      <c r="R389">
        <v>4634035.32</v>
      </c>
      <c r="S389">
        <v>717004.68</v>
      </c>
      <c r="T389" t="s">
        <v>60</v>
      </c>
      <c r="U389" t="str">
        <f t="shared" si="18"/>
        <v>2024-04</v>
      </c>
      <c r="V389">
        <f t="shared" si="19"/>
        <v>4</v>
      </c>
      <c r="W389" s="2">
        <f t="shared" si="20"/>
        <v>0.13399351901686402</v>
      </c>
    </row>
    <row r="390" spans="1:23">
      <c r="A390" t="s">
        <v>967</v>
      </c>
      <c r="B390" s="1">
        <v>45559</v>
      </c>
      <c r="C390" s="1">
        <v>45565</v>
      </c>
      <c r="D390" t="s">
        <v>441</v>
      </c>
      <c r="E390" t="s">
        <v>860</v>
      </c>
      <c r="F390" t="s">
        <v>54</v>
      </c>
      <c r="G390" t="s">
        <v>169</v>
      </c>
      <c r="H390" t="s">
        <v>157</v>
      </c>
      <c r="I390" t="s">
        <v>57</v>
      </c>
      <c r="J390" t="s">
        <v>27</v>
      </c>
      <c r="K390" t="s">
        <v>28</v>
      </c>
      <c r="L390" t="s">
        <v>71</v>
      </c>
      <c r="M390" t="s">
        <v>72</v>
      </c>
      <c r="N390">
        <v>3</v>
      </c>
      <c r="O390">
        <v>46100</v>
      </c>
      <c r="P390">
        <v>0</v>
      </c>
      <c r="Q390">
        <v>138300</v>
      </c>
      <c r="R390">
        <v>68954.2</v>
      </c>
      <c r="S390">
        <v>69345.8</v>
      </c>
      <c r="T390" t="s">
        <v>73</v>
      </c>
      <c r="U390" t="str">
        <f t="shared" si="18"/>
        <v>2024-09</v>
      </c>
      <c r="V390">
        <f t="shared" si="19"/>
        <v>6</v>
      </c>
      <c r="W390" s="2">
        <f t="shared" si="20"/>
        <v>0.50141576283441791</v>
      </c>
    </row>
    <row r="391" spans="1:23">
      <c r="A391" t="s">
        <v>968</v>
      </c>
      <c r="B391" s="1">
        <v>45225</v>
      </c>
      <c r="C391" s="1">
        <v>45231</v>
      </c>
      <c r="D391" t="s">
        <v>837</v>
      </c>
      <c r="E391" t="s">
        <v>619</v>
      </c>
      <c r="F391" t="s">
        <v>54</v>
      </c>
      <c r="G391" t="s">
        <v>169</v>
      </c>
      <c r="H391" t="s">
        <v>157</v>
      </c>
      <c r="I391" t="s">
        <v>57</v>
      </c>
      <c r="J391" t="s">
        <v>47</v>
      </c>
      <c r="K391" t="s">
        <v>48</v>
      </c>
      <c r="L391" t="s">
        <v>49</v>
      </c>
      <c r="M391" t="s">
        <v>50</v>
      </c>
      <c r="N391">
        <v>2</v>
      </c>
      <c r="O391">
        <v>536100</v>
      </c>
      <c r="P391">
        <v>0.2</v>
      </c>
      <c r="Q391">
        <v>857760</v>
      </c>
      <c r="R391">
        <v>712176.63</v>
      </c>
      <c r="S391">
        <v>145583.37</v>
      </c>
      <c r="T391" t="s">
        <v>60</v>
      </c>
      <c r="U391" t="str">
        <f t="shared" si="18"/>
        <v>2023-10</v>
      </c>
      <c r="V391">
        <f t="shared" si="19"/>
        <v>6</v>
      </c>
      <c r="W391" s="2">
        <f t="shared" si="20"/>
        <v>0.16972506295467263</v>
      </c>
    </row>
    <row r="392" spans="1:23">
      <c r="A392" t="s">
        <v>969</v>
      </c>
      <c r="B392" s="1">
        <v>45311</v>
      </c>
      <c r="C392" s="1">
        <v>45312</v>
      </c>
      <c r="D392" t="s">
        <v>970</v>
      </c>
      <c r="E392" t="s">
        <v>528</v>
      </c>
      <c r="F392" t="s">
        <v>35</v>
      </c>
      <c r="G392" t="s">
        <v>55</v>
      </c>
      <c r="H392" t="s">
        <v>56</v>
      </c>
      <c r="I392" t="s">
        <v>57</v>
      </c>
      <c r="J392" t="s">
        <v>47</v>
      </c>
      <c r="K392" t="s">
        <v>142</v>
      </c>
      <c r="L392" t="s">
        <v>158</v>
      </c>
      <c r="M392" t="s">
        <v>159</v>
      </c>
      <c r="N392">
        <v>3</v>
      </c>
      <c r="O392">
        <v>7796600</v>
      </c>
      <c r="P392">
        <v>0</v>
      </c>
      <c r="Q392">
        <v>23389800</v>
      </c>
      <c r="R392">
        <v>17520335.719999999</v>
      </c>
      <c r="S392">
        <v>5869464.2800000003</v>
      </c>
      <c r="T392" t="s">
        <v>73</v>
      </c>
      <c r="U392" t="str">
        <f t="shared" si="18"/>
        <v>2024-01</v>
      </c>
      <c r="V392">
        <f t="shared" si="19"/>
        <v>1</v>
      </c>
      <c r="W392" s="2">
        <f t="shared" si="20"/>
        <v>0.25094119145952509</v>
      </c>
    </row>
    <row r="393" spans="1:23">
      <c r="A393" t="s">
        <v>971</v>
      </c>
      <c r="B393" s="1">
        <v>45887</v>
      </c>
      <c r="C393" s="1">
        <v>45893</v>
      </c>
      <c r="D393" t="s">
        <v>972</v>
      </c>
      <c r="E393" t="s">
        <v>973</v>
      </c>
      <c r="F393" t="s">
        <v>23</v>
      </c>
      <c r="G393" t="s">
        <v>169</v>
      </c>
      <c r="H393" t="s">
        <v>157</v>
      </c>
      <c r="I393" t="s">
        <v>57</v>
      </c>
      <c r="J393" t="s">
        <v>27</v>
      </c>
      <c r="K393" t="s">
        <v>28</v>
      </c>
      <c r="L393" t="s">
        <v>71</v>
      </c>
      <c r="M393" t="s">
        <v>72</v>
      </c>
      <c r="N393">
        <v>1</v>
      </c>
      <c r="O393">
        <v>42700</v>
      </c>
      <c r="P393">
        <v>0.05</v>
      </c>
      <c r="Q393">
        <v>40565</v>
      </c>
      <c r="R393">
        <v>23890.3</v>
      </c>
      <c r="S393">
        <v>16674.7</v>
      </c>
      <c r="T393" t="s">
        <v>73</v>
      </c>
      <c r="U393" t="str">
        <f t="shared" si="18"/>
        <v>2025-08</v>
      </c>
      <c r="V393">
        <f t="shared" si="19"/>
        <v>6</v>
      </c>
      <c r="W393" s="2">
        <f t="shared" si="20"/>
        <v>0.4110612597066437</v>
      </c>
    </row>
    <row r="394" spans="1:23">
      <c r="A394" t="s">
        <v>974</v>
      </c>
      <c r="B394" s="1">
        <v>45342</v>
      </c>
      <c r="C394" s="1">
        <v>45349</v>
      </c>
      <c r="D394" t="s">
        <v>560</v>
      </c>
      <c r="E394" t="s">
        <v>582</v>
      </c>
      <c r="F394" t="s">
        <v>54</v>
      </c>
      <c r="G394" t="s">
        <v>64</v>
      </c>
      <c r="H394" t="s">
        <v>65</v>
      </c>
      <c r="I394" t="s">
        <v>57</v>
      </c>
      <c r="J394" t="s">
        <v>47</v>
      </c>
      <c r="K394" t="s">
        <v>173</v>
      </c>
      <c r="L394" t="s">
        <v>203</v>
      </c>
      <c r="M394" t="s">
        <v>204</v>
      </c>
      <c r="N394">
        <v>3</v>
      </c>
      <c r="O394">
        <v>3490200</v>
      </c>
      <c r="P394">
        <v>0.2</v>
      </c>
      <c r="Q394">
        <v>8376480</v>
      </c>
      <c r="R394">
        <v>8002077.54</v>
      </c>
      <c r="S394">
        <v>374402.46</v>
      </c>
      <c r="T394" t="s">
        <v>40</v>
      </c>
      <c r="U394" t="str">
        <f t="shared" si="18"/>
        <v>2024-02</v>
      </c>
      <c r="V394">
        <f t="shared" si="19"/>
        <v>7</v>
      </c>
      <c r="W394" s="2">
        <f t="shared" si="20"/>
        <v>4.4696872672053183E-2</v>
      </c>
    </row>
    <row r="395" spans="1:23">
      <c r="A395" t="s">
        <v>975</v>
      </c>
      <c r="B395" s="1">
        <v>45706</v>
      </c>
      <c r="C395" s="1">
        <v>45712</v>
      </c>
      <c r="D395" t="s">
        <v>135</v>
      </c>
      <c r="E395" t="s">
        <v>909</v>
      </c>
      <c r="F395" t="s">
        <v>23</v>
      </c>
      <c r="G395" t="s">
        <v>87</v>
      </c>
      <c r="H395" t="s">
        <v>88</v>
      </c>
      <c r="I395" t="s">
        <v>46</v>
      </c>
      <c r="J395" t="s">
        <v>47</v>
      </c>
      <c r="K395" t="s">
        <v>142</v>
      </c>
      <c r="L395" t="s">
        <v>158</v>
      </c>
      <c r="M395" t="s">
        <v>159</v>
      </c>
      <c r="N395">
        <v>5</v>
      </c>
      <c r="O395">
        <v>7456500</v>
      </c>
      <c r="P395">
        <v>0.3</v>
      </c>
      <c r="Q395">
        <v>26097750</v>
      </c>
      <c r="R395">
        <v>29587259.609999999</v>
      </c>
      <c r="S395">
        <v>-3489509.61</v>
      </c>
      <c r="T395" t="s">
        <v>40</v>
      </c>
      <c r="U395" t="str">
        <f t="shared" si="18"/>
        <v>2025-02</v>
      </c>
      <c r="V395">
        <f t="shared" si="19"/>
        <v>6</v>
      </c>
      <c r="W395" s="2">
        <f t="shared" si="20"/>
        <v>-0.13370921286317786</v>
      </c>
    </row>
    <row r="396" spans="1:23">
      <c r="A396" t="s">
        <v>976</v>
      </c>
      <c r="B396" s="1">
        <v>45720</v>
      </c>
      <c r="C396" s="1">
        <v>45725</v>
      </c>
      <c r="D396" t="s">
        <v>871</v>
      </c>
      <c r="E396" t="s">
        <v>977</v>
      </c>
      <c r="F396" t="s">
        <v>23</v>
      </c>
      <c r="G396" t="s">
        <v>24</v>
      </c>
      <c r="H396" t="s">
        <v>25</v>
      </c>
      <c r="I396" t="s">
        <v>26</v>
      </c>
      <c r="J396" t="s">
        <v>27</v>
      </c>
      <c r="K396" t="s">
        <v>100</v>
      </c>
      <c r="L396" t="s">
        <v>101</v>
      </c>
      <c r="M396" t="s">
        <v>102</v>
      </c>
      <c r="N396">
        <v>5</v>
      </c>
      <c r="O396">
        <v>62100</v>
      </c>
      <c r="P396">
        <v>0</v>
      </c>
      <c r="Q396">
        <v>310500</v>
      </c>
      <c r="R396">
        <v>165932.38</v>
      </c>
      <c r="S396">
        <v>144567.62</v>
      </c>
      <c r="T396" t="s">
        <v>40</v>
      </c>
      <c r="U396" t="str">
        <f t="shared" si="18"/>
        <v>2025-03</v>
      </c>
      <c r="V396">
        <f t="shared" si="19"/>
        <v>5</v>
      </c>
      <c r="W396" s="2">
        <f t="shared" si="20"/>
        <v>0.4655961996779388</v>
      </c>
    </row>
    <row r="397" spans="1:23">
      <c r="A397" t="s">
        <v>978</v>
      </c>
      <c r="B397" s="1">
        <v>45038</v>
      </c>
      <c r="C397" s="1">
        <v>45044</v>
      </c>
      <c r="D397" t="s">
        <v>293</v>
      </c>
      <c r="E397" t="s">
        <v>363</v>
      </c>
      <c r="F397" t="s">
        <v>35</v>
      </c>
      <c r="G397" t="s">
        <v>64</v>
      </c>
      <c r="H397" t="s">
        <v>65</v>
      </c>
      <c r="I397" t="s">
        <v>57</v>
      </c>
      <c r="J397" t="s">
        <v>36</v>
      </c>
      <c r="K397" t="s">
        <v>81</v>
      </c>
      <c r="L397" t="s">
        <v>82</v>
      </c>
      <c r="M397" t="s">
        <v>83</v>
      </c>
      <c r="N397">
        <v>1</v>
      </c>
      <c r="O397">
        <v>656600</v>
      </c>
      <c r="P397">
        <v>0</v>
      </c>
      <c r="Q397">
        <v>656600</v>
      </c>
      <c r="R397">
        <v>431195.29</v>
      </c>
      <c r="S397">
        <v>225404.71</v>
      </c>
      <c r="T397" t="s">
        <v>40</v>
      </c>
      <c r="U397" t="str">
        <f t="shared" si="18"/>
        <v>2023-04</v>
      </c>
      <c r="V397">
        <f t="shared" si="19"/>
        <v>6</v>
      </c>
      <c r="W397" s="2">
        <f t="shared" si="20"/>
        <v>0.34329075540664028</v>
      </c>
    </row>
    <row r="398" spans="1:23">
      <c r="A398" t="s">
        <v>979</v>
      </c>
      <c r="B398" s="1">
        <v>45589</v>
      </c>
      <c r="C398" s="1">
        <v>45593</v>
      </c>
      <c r="D398" t="s">
        <v>164</v>
      </c>
      <c r="E398" t="s">
        <v>196</v>
      </c>
      <c r="F398" t="s">
        <v>54</v>
      </c>
      <c r="G398" t="s">
        <v>55</v>
      </c>
      <c r="H398" t="s">
        <v>56</v>
      </c>
      <c r="I398" t="s">
        <v>57</v>
      </c>
      <c r="J398" t="s">
        <v>47</v>
      </c>
      <c r="K398" t="s">
        <v>128</v>
      </c>
      <c r="L398" t="s">
        <v>129</v>
      </c>
      <c r="M398" t="s">
        <v>130</v>
      </c>
      <c r="N398">
        <v>5</v>
      </c>
      <c r="O398">
        <v>1333800</v>
      </c>
      <c r="P398">
        <v>0.05</v>
      </c>
      <c r="Q398">
        <v>6335550</v>
      </c>
      <c r="R398">
        <v>4966449.34</v>
      </c>
      <c r="S398">
        <v>1369100.66</v>
      </c>
      <c r="T398" t="s">
        <v>73</v>
      </c>
      <c r="U398" t="str">
        <f t="shared" si="18"/>
        <v>2024-10</v>
      </c>
      <c r="V398">
        <f t="shared" si="19"/>
        <v>4</v>
      </c>
      <c r="W398" s="2">
        <f t="shared" si="20"/>
        <v>0.21609815406712912</v>
      </c>
    </row>
    <row r="399" spans="1:23">
      <c r="A399" t="s">
        <v>980</v>
      </c>
      <c r="B399" s="1">
        <v>45180</v>
      </c>
      <c r="C399" s="1">
        <v>45181</v>
      </c>
      <c r="D399" t="s">
        <v>213</v>
      </c>
      <c r="E399" t="s">
        <v>981</v>
      </c>
      <c r="F399" t="s">
        <v>23</v>
      </c>
      <c r="G399" t="s">
        <v>156</v>
      </c>
      <c r="H399" t="s">
        <v>157</v>
      </c>
      <c r="I399" t="s">
        <v>57</v>
      </c>
      <c r="J399" t="s">
        <v>47</v>
      </c>
      <c r="K399" t="s">
        <v>128</v>
      </c>
      <c r="L399" t="s">
        <v>129</v>
      </c>
      <c r="M399" t="s">
        <v>130</v>
      </c>
      <c r="N399">
        <v>4</v>
      </c>
      <c r="O399">
        <v>1616100</v>
      </c>
      <c r="P399">
        <v>0.1</v>
      </c>
      <c r="Q399">
        <v>5817960</v>
      </c>
      <c r="R399">
        <v>4518399.75</v>
      </c>
      <c r="S399">
        <v>1299560.25</v>
      </c>
      <c r="T399" t="s">
        <v>40</v>
      </c>
      <c r="U399" t="str">
        <f t="shared" si="18"/>
        <v>2023-09</v>
      </c>
      <c r="V399">
        <f t="shared" si="19"/>
        <v>1</v>
      </c>
      <c r="W399" s="2">
        <f t="shared" si="20"/>
        <v>0.22337043396654496</v>
      </c>
    </row>
    <row r="400" spans="1:23">
      <c r="A400" t="s">
        <v>982</v>
      </c>
      <c r="B400" s="1">
        <v>45276</v>
      </c>
      <c r="C400" s="1">
        <v>45279</v>
      </c>
      <c r="D400" t="s">
        <v>812</v>
      </c>
      <c r="E400" t="s">
        <v>645</v>
      </c>
      <c r="F400" t="s">
        <v>23</v>
      </c>
      <c r="G400" t="s">
        <v>80</v>
      </c>
      <c r="H400" t="s">
        <v>45</v>
      </c>
      <c r="I400" t="s">
        <v>46</v>
      </c>
      <c r="J400" t="s">
        <v>36</v>
      </c>
      <c r="K400" t="s">
        <v>37</v>
      </c>
      <c r="L400" t="s">
        <v>58</v>
      </c>
      <c r="M400" t="s">
        <v>59</v>
      </c>
      <c r="N400">
        <v>1</v>
      </c>
      <c r="O400">
        <v>919300</v>
      </c>
      <c r="P400">
        <v>0.05</v>
      </c>
      <c r="Q400">
        <v>873335</v>
      </c>
      <c r="R400">
        <v>591711.4</v>
      </c>
      <c r="S400">
        <v>281623.59999999998</v>
      </c>
      <c r="T400" t="s">
        <v>73</v>
      </c>
      <c r="U400" t="str">
        <f t="shared" si="18"/>
        <v>2023-12</v>
      </c>
      <c r="V400">
        <f t="shared" si="19"/>
        <v>3</v>
      </c>
      <c r="W400" s="2">
        <f t="shared" si="20"/>
        <v>0.32246915559321448</v>
      </c>
    </row>
    <row r="401" spans="1:23">
      <c r="A401" t="s">
        <v>983</v>
      </c>
      <c r="B401" s="1">
        <v>45297</v>
      </c>
      <c r="C401" s="1">
        <v>45298</v>
      </c>
      <c r="D401" t="s">
        <v>333</v>
      </c>
      <c r="E401" t="s">
        <v>168</v>
      </c>
      <c r="F401" t="s">
        <v>35</v>
      </c>
      <c r="G401" t="s">
        <v>140</v>
      </c>
      <c r="H401" t="s">
        <v>141</v>
      </c>
      <c r="I401" t="s">
        <v>46</v>
      </c>
      <c r="J401" t="s">
        <v>27</v>
      </c>
      <c r="K401" t="s">
        <v>28</v>
      </c>
      <c r="L401" t="s">
        <v>29</v>
      </c>
      <c r="M401" t="s">
        <v>30</v>
      </c>
      <c r="N401">
        <v>1</v>
      </c>
      <c r="O401">
        <v>68600</v>
      </c>
      <c r="P401">
        <v>0.05</v>
      </c>
      <c r="Q401">
        <v>65170</v>
      </c>
      <c r="R401">
        <v>39080.28</v>
      </c>
      <c r="S401">
        <v>26089.72</v>
      </c>
      <c r="T401" t="s">
        <v>60</v>
      </c>
      <c r="U401" t="str">
        <f t="shared" si="18"/>
        <v>2024-01</v>
      </c>
      <c r="V401">
        <f t="shared" si="19"/>
        <v>1</v>
      </c>
      <c r="W401" s="2">
        <f t="shared" si="20"/>
        <v>0.40033328218505448</v>
      </c>
    </row>
    <row r="402" spans="1:23">
      <c r="A402" t="s">
        <v>984</v>
      </c>
      <c r="B402" s="1">
        <v>45901</v>
      </c>
      <c r="C402" s="1">
        <v>45905</v>
      </c>
      <c r="D402" t="s">
        <v>763</v>
      </c>
      <c r="E402" t="s">
        <v>717</v>
      </c>
      <c r="F402" t="s">
        <v>35</v>
      </c>
      <c r="G402" t="s">
        <v>55</v>
      </c>
      <c r="H402" t="s">
        <v>56</v>
      </c>
      <c r="I402" t="s">
        <v>57</v>
      </c>
      <c r="J402" t="s">
        <v>36</v>
      </c>
      <c r="K402" t="s">
        <v>81</v>
      </c>
      <c r="L402" t="s">
        <v>215</v>
      </c>
      <c r="M402" t="s">
        <v>216</v>
      </c>
      <c r="N402">
        <v>5</v>
      </c>
      <c r="O402">
        <v>1682100</v>
      </c>
      <c r="P402">
        <v>0.1</v>
      </c>
      <c r="Q402">
        <v>7569450</v>
      </c>
      <c r="R402">
        <v>5865200.2400000002</v>
      </c>
      <c r="S402">
        <v>1704249.76</v>
      </c>
      <c r="T402" t="s">
        <v>73</v>
      </c>
      <c r="U402" t="str">
        <f t="shared" si="18"/>
        <v>2025-09</v>
      </c>
      <c r="V402">
        <f t="shared" si="19"/>
        <v>4</v>
      </c>
      <c r="W402" s="2">
        <f t="shared" si="20"/>
        <v>0.22514842690023715</v>
      </c>
    </row>
    <row r="403" spans="1:23">
      <c r="A403" t="s">
        <v>985</v>
      </c>
      <c r="B403" s="1">
        <v>45230</v>
      </c>
      <c r="C403" s="1">
        <v>45231</v>
      </c>
      <c r="D403" t="s">
        <v>799</v>
      </c>
      <c r="E403" t="s">
        <v>193</v>
      </c>
      <c r="F403" t="s">
        <v>54</v>
      </c>
      <c r="G403" t="s">
        <v>80</v>
      </c>
      <c r="H403" t="s">
        <v>45</v>
      </c>
      <c r="I403" t="s">
        <v>46</v>
      </c>
      <c r="J403" t="s">
        <v>27</v>
      </c>
      <c r="K403" t="s">
        <v>100</v>
      </c>
      <c r="L403" t="s">
        <v>101</v>
      </c>
      <c r="M403" t="s">
        <v>102</v>
      </c>
      <c r="N403">
        <v>2</v>
      </c>
      <c r="O403">
        <v>53300</v>
      </c>
      <c r="P403">
        <v>0</v>
      </c>
      <c r="Q403">
        <v>106600</v>
      </c>
      <c r="R403">
        <v>63272.65</v>
      </c>
      <c r="S403">
        <v>43327.35</v>
      </c>
      <c r="T403" t="s">
        <v>60</v>
      </c>
      <c r="U403" t="str">
        <f t="shared" si="18"/>
        <v>2023-10</v>
      </c>
      <c r="V403">
        <f t="shared" si="19"/>
        <v>1</v>
      </c>
      <c r="W403" s="2">
        <f t="shared" si="20"/>
        <v>0.40644793621013131</v>
      </c>
    </row>
    <row r="404" spans="1:23">
      <c r="A404" t="s">
        <v>986</v>
      </c>
      <c r="B404" s="1">
        <v>45290</v>
      </c>
      <c r="C404" s="1">
        <v>45294</v>
      </c>
      <c r="D404" t="s">
        <v>447</v>
      </c>
      <c r="E404" t="s">
        <v>524</v>
      </c>
      <c r="F404" t="s">
        <v>23</v>
      </c>
      <c r="G404" t="s">
        <v>140</v>
      </c>
      <c r="H404" t="s">
        <v>141</v>
      </c>
      <c r="I404" t="s">
        <v>46</v>
      </c>
      <c r="J404" t="s">
        <v>27</v>
      </c>
      <c r="K404" t="s">
        <v>179</v>
      </c>
      <c r="L404" t="s">
        <v>180</v>
      </c>
      <c r="M404" t="s">
        <v>181</v>
      </c>
      <c r="N404">
        <v>2</v>
      </c>
      <c r="O404">
        <v>61500</v>
      </c>
      <c r="P404">
        <v>0.2</v>
      </c>
      <c r="Q404">
        <v>98400</v>
      </c>
      <c r="R404">
        <v>68358.070000000007</v>
      </c>
      <c r="S404">
        <v>30041.93</v>
      </c>
      <c r="T404" t="s">
        <v>60</v>
      </c>
      <c r="U404" t="str">
        <f t="shared" si="18"/>
        <v>2023-12</v>
      </c>
      <c r="V404">
        <f t="shared" si="19"/>
        <v>4</v>
      </c>
      <c r="W404" s="2">
        <f t="shared" si="20"/>
        <v>0.30530416666666665</v>
      </c>
    </row>
    <row r="405" spans="1:23">
      <c r="A405" t="s">
        <v>987</v>
      </c>
      <c r="B405" s="1">
        <v>45202</v>
      </c>
      <c r="C405" s="1">
        <v>45203</v>
      </c>
      <c r="D405" t="s">
        <v>614</v>
      </c>
      <c r="E405" t="s">
        <v>877</v>
      </c>
      <c r="F405" t="s">
        <v>35</v>
      </c>
      <c r="G405" t="s">
        <v>156</v>
      </c>
      <c r="H405" t="s">
        <v>157</v>
      </c>
      <c r="I405" t="s">
        <v>57</v>
      </c>
      <c r="J405" t="s">
        <v>27</v>
      </c>
      <c r="K405" t="s">
        <v>179</v>
      </c>
      <c r="L405" t="s">
        <v>244</v>
      </c>
      <c r="M405" t="s">
        <v>245</v>
      </c>
      <c r="N405">
        <v>3</v>
      </c>
      <c r="O405">
        <v>39300</v>
      </c>
      <c r="P405">
        <v>0</v>
      </c>
      <c r="Q405">
        <v>117900</v>
      </c>
      <c r="R405">
        <v>61594.77</v>
      </c>
      <c r="S405">
        <v>56305.23</v>
      </c>
      <c r="T405" t="s">
        <v>73</v>
      </c>
      <c r="U405" t="str">
        <f t="shared" si="18"/>
        <v>2023-10</v>
      </c>
      <c r="V405">
        <f t="shared" si="19"/>
        <v>1</v>
      </c>
      <c r="W405" s="2">
        <f t="shared" si="20"/>
        <v>0.4775676844783715</v>
      </c>
    </row>
    <row r="406" spans="1:23">
      <c r="A406" t="s">
        <v>988</v>
      </c>
      <c r="B406" s="1">
        <v>45515</v>
      </c>
      <c r="C406" s="1">
        <v>45519</v>
      </c>
      <c r="D406" t="s">
        <v>456</v>
      </c>
      <c r="E406" t="s">
        <v>989</v>
      </c>
      <c r="F406" t="s">
        <v>35</v>
      </c>
      <c r="G406" t="s">
        <v>95</v>
      </c>
      <c r="H406" t="s">
        <v>96</v>
      </c>
      <c r="I406" t="s">
        <v>26</v>
      </c>
      <c r="J406" t="s">
        <v>36</v>
      </c>
      <c r="K406" t="s">
        <v>89</v>
      </c>
      <c r="L406" t="s">
        <v>151</v>
      </c>
      <c r="M406" t="s">
        <v>152</v>
      </c>
      <c r="N406">
        <v>6</v>
      </c>
      <c r="O406">
        <v>1293900</v>
      </c>
      <c r="P406">
        <v>0.05</v>
      </c>
      <c r="Q406">
        <v>7375230</v>
      </c>
      <c r="R406">
        <v>5434473.0899999999</v>
      </c>
      <c r="S406">
        <v>1940756.91</v>
      </c>
      <c r="T406" t="s">
        <v>60</v>
      </c>
      <c r="U406" t="str">
        <f t="shared" si="18"/>
        <v>2024-08</v>
      </c>
      <c r="V406">
        <f t="shared" si="19"/>
        <v>4</v>
      </c>
      <c r="W406" s="2">
        <f t="shared" si="20"/>
        <v>0.26314527275759536</v>
      </c>
    </row>
    <row r="407" spans="1:23">
      <c r="A407" t="s">
        <v>990</v>
      </c>
      <c r="B407" s="1">
        <v>45295</v>
      </c>
      <c r="C407" s="1">
        <v>45300</v>
      </c>
      <c r="D407" t="s">
        <v>516</v>
      </c>
      <c r="E407" t="s">
        <v>285</v>
      </c>
      <c r="F407" t="s">
        <v>23</v>
      </c>
      <c r="G407" t="s">
        <v>24</v>
      </c>
      <c r="H407" t="s">
        <v>25</v>
      </c>
      <c r="I407" t="s">
        <v>26</v>
      </c>
      <c r="J407" t="s">
        <v>47</v>
      </c>
      <c r="K407" t="s">
        <v>48</v>
      </c>
      <c r="L407" t="s">
        <v>66</v>
      </c>
      <c r="M407" t="s">
        <v>67</v>
      </c>
      <c r="N407">
        <v>2</v>
      </c>
      <c r="O407">
        <v>134400</v>
      </c>
      <c r="P407">
        <v>0.15</v>
      </c>
      <c r="Q407">
        <v>228480</v>
      </c>
      <c r="R407">
        <v>152310.88</v>
      </c>
      <c r="S407">
        <v>76169.119999999995</v>
      </c>
      <c r="T407" t="s">
        <v>31</v>
      </c>
      <c r="U407" t="str">
        <f t="shared" si="18"/>
        <v>2024-01</v>
      </c>
      <c r="V407">
        <f t="shared" si="19"/>
        <v>5</v>
      </c>
      <c r="W407" s="2">
        <f t="shared" si="20"/>
        <v>0.33337324929971984</v>
      </c>
    </row>
    <row r="408" spans="1:23">
      <c r="A408" t="s">
        <v>991</v>
      </c>
      <c r="B408" s="1">
        <v>45610</v>
      </c>
      <c r="C408" s="1">
        <v>45613</v>
      </c>
      <c r="D408" t="s">
        <v>992</v>
      </c>
      <c r="E408" t="s">
        <v>993</v>
      </c>
      <c r="F408" t="s">
        <v>23</v>
      </c>
      <c r="G408" t="s">
        <v>24</v>
      </c>
      <c r="H408" t="s">
        <v>25</v>
      </c>
      <c r="I408" t="s">
        <v>26</v>
      </c>
      <c r="J408" t="s">
        <v>36</v>
      </c>
      <c r="K408" t="s">
        <v>37</v>
      </c>
      <c r="L408" t="s">
        <v>58</v>
      </c>
      <c r="M408" t="s">
        <v>59</v>
      </c>
      <c r="N408">
        <v>3</v>
      </c>
      <c r="O408">
        <v>831700</v>
      </c>
      <c r="P408">
        <v>0</v>
      </c>
      <c r="Q408">
        <v>2495100</v>
      </c>
      <c r="R408">
        <v>1604034.91</v>
      </c>
      <c r="S408">
        <v>891065.09</v>
      </c>
      <c r="T408" t="s">
        <v>73</v>
      </c>
      <c r="U408" t="str">
        <f t="shared" si="18"/>
        <v>2024-11</v>
      </c>
      <c r="V408">
        <f t="shared" si="19"/>
        <v>3</v>
      </c>
      <c r="W408" s="2">
        <f t="shared" si="20"/>
        <v>0.35712600296581298</v>
      </c>
    </row>
    <row r="409" spans="1:23">
      <c r="A409" t="s">
        <v>994</v>
      </c>
      <c r="B409" s="1">
        <v>45160</v>
      </c>
      <c r="C409" s="1">
        <v>45166</v>
      </c>
      <c r="D409" t="s">
        <v>485</v>
      </c>
      <c r="E409" t="s">
        <v>995</v>
      </c>
      <c r="F409" t="s">
        <v>35</v>
      </c>
      <c r="G409" t="s">
        <v>55</v>
      </c>
      <c r="H409" t="s">
        <v>56</v>
      </c>
      <c r="I409" t="s">
        <v>57</v>
      </c>
      <c r="J409" t="s">
        <v>47</v>
      </c>
      <c r="K409" t="s">
        <v>48</v>
      </c>
      <c r="L409" t="s">
        <v>225</v>
      </c>
      <c r="M409" t="s">
        <v>226</v>
      </c>
      <c r="N409">
        <v>5</v>
      </c>
      <c r="O409">
        <v>216800</v>
      </c>
      <c r="P409">
        <v>0.2</v>
      </c>
      <c r="Q409">
        <v>867200</v>
      </c>
      <c r="R409">
        <v>695860.6</v>
      </c>
      <c r="S409">
        <v>171339.4</v>
      </c>
      <c r="T409" t="s">
        <v>31</v>
      </c>
      <c r="U409" t="str">
        <f t="shared" si="18"/>
        <v>2023-08</v>
      </c>
      <c r="V409">
        <f t="shared" si="19"/>
        <v>6</v>
      </c>
      <c r="W409" s="2">
        <f t="shared" si="20"/>
        <v>0.19757772140221402</v>
      </c>
    </row>
    <row r="410" spans="1:23">
      <c r="A410" t="s">
        <v>996</v>
      </c>
      <c r="B410" s="1">
        <v>44999</v>
      </c>
      <c r="C410" s="1">
        <v>45005</v>
      </c>
      <c r="D410" t="s">
        <v>997</v>
      </c>
      <c r="E410" t="s">
        <v>998</v>
      </c>
      <c r="F410" t="s">
        <v>54</v>
      </c>
      <c r="G410" t="s">
        <v>64</v>
      </c>
      <c r="H410" t="s">
        <v>65</v>
      </c>
      <c r="I410" t="s">
        <v>57</v>
      </c>
      <c r="J410" t="s">
        <v>47</v>
      </c>
      <c r="K410" t="s">
        <v>173</v>
      </c>
      <c r="L410" t="s">
        <v>203</v>
      </c>
      <c r="M410" t="s">
        <v>204</v>
      </c>
      <c r="N410">
        <v>2</v>
      </c>
      <c r="O410">
        <v>3453200</v>
      </c>
      <c r="P410">
        <v>0.25</v>
      </c>
      <c r="Q410">
        <v>5179800</v>
      </c>
      <c r="R410">
        <v>5024647.74</v>
      </c>
      <c r="S410">
        <v>155152.26</v>
      </c>
      <c r="T410" t="s">
        <v>60</v>
      </c>
      <c r="U410" t="str">
        <f t="shared" si="18"/>
        <v>2023-03</v>
      </c>
      <c r="V410">
        <f t="shared" si="19"/>
        <v>6</v>
      </c>
      <c r="W410" s="2">
        <f t="shared" si="20"/>
        <v>2.9953330244410981E-2</v>
      </c>
    </row>
    <row r="411" spans="1:23">
      <c r="A411" t="s">
        <v>999</v>
      </c>
      <c r="B411" s="1">
        <v>45573</v>
      </c>
      <c r="C411" s="1">
        <v>45578</v>
      </c>
      <c r="D411" t="s">
        <v>1000</v>
      </c>
      <c r="E411" t="s">
        <v>172</v>
      </c>
      <c r="F411" t="s">
        <v>35</v>
      </c>
      <c r="G411" t="s">
        <v>55</v>
      </c>
      <c r="H411" t="s">
        <v>56</v>
      </c>
      <c r="I411" t="s">
        <v>57</v>
      </c>
      <c r="J411" t="s">
        <v>36</v>
      </c>
      <c r="K411" t="s">
        <v>81</v>
      </c>
      <c r="L411" t="s">
        <v>82</v>
      </c>
      <c r="M411" t="s">
        <v>83</v>
      </c>
      <c r="N411">
        <v>1</v>
      </c>
      <c r="O411">
        <v>606400</v>
      </c>
      <c r="P411">
        <v>0.2</v>
      </c>
      <c r="Q411">
        <v>485120</v>
      </c>
      <c r="R411">
        <v>385802.28</v>
      </c>
      <c r="S411">
        <v>99317.72</v>
      </c>
      <c r="T411" t="s">
        <v>60</v>
      </c>
      <c r="U411" t="str">
        <f t="shared" si="18"/>
        <v>2024-10</v>
      </c>
      <c r="V411">
        <f t="shared" si="19"/>
        <v>5</v>
      </c>
      <c r="W411" s="2">
        <f t="shared" si="20"/>
        <v>0.20472814973614775</v>
      </c>
    </row>
    <row r="412" spans="1:23">
      <c r="A412" t="s">
        <v>1001</v>
      </c>
      <c r="B412" s="1">
        <v>45266</v>
      </c>
      <c r="C412" s="1">
        <v>45271</v>
      </c>
      <c r="D412" t="s">
        <v>456</v>
      </c>
      <c r="E412" t="s">
        <v>139</v>
      </c>
      <c r="F412" t="s">
        <v>23</v>
      </c>
      <c r="G412" t="s">
        <v>55</v>
      </c>
      <c r="H412" t="s">
        <v>56</v>
      </c>
      <c r="I412" t="s">
        <v>57</v>
      </c>
      <c r="J412" t="s">
        <v>36</v>
      </c>
      <c r="K412" t="s">
        <v>81</v>
      </c>
      <c r="L412" t="s">
        <v>82</v>
      </c>
      <c r="M412" t="s">
        <v>83</v>
      </c>
      <c r="N412">
        <v>3</v>
      </c>
      <c r="O412">
        <v>630000</v>
      </c>
      <c r="P412">
        <v>0</v>
      </c>
      <c r="Q412">
        <v>1890000</v>
      </c>
      <c r="R412">
        <v>1214200.1599999999</v>
      </c>
      <c r="S412">
        <v>675799.84</v>
      </c>
      <c r="T412" t="s">
        <v>60</v>
      </c>
      <c r="U412" t="str">
        <f t="shared" si="18"/>
        <v>2023-12</v>
      </c>
      <c r="V412">
        <f t="shared" si="19"/>
        <v>5</v>
      </c>
      <c r="W412" s="2">
        <f t="shared" si="20"/>
        <v>0.35756605291005289</v>
      </c>
    </row>
    <row r="413" spans="1:23">
      <c r="A413" t="s">
        <v>1002</v>
      </c>
      <c r="B413" s="1">
        <v>45688</v>
      </c>
      <c r="C413" s="1">
        <v>45692</v>
      </c>
      <c r="D413" t="s">
        <v>399</v>
      </c>
      <c r="E413" t="s">
        <v>550</v>
      </c>
      <c r="F413" t="s">
        <v>35</v>
      </c>
      <c r="G413" t="s">
        <v>24</v>
      </c>
      <c r="H413" t="s">
        <v>25</v>
      </c>
      <c r="I413" t="s">
        <v>26</v>
      </c>
      <c r="J413" t="s">
        <v>27</v>
      </c>
      <c r="K413" t="s">
        <v>179</v>
      </c>
      <c r="L413" t="s">
        <v>244</v>
      </c>
      <c r="M413" t="s">
        <v>245</v>
      </c>
      <c r="N413">
        <v>1</v>
      </c>
      <c r="O413">
        <v>40800</v>
      </c>
      <c r="P413">
        <v>0.15</v>
      </c>
      <c r="Q413">
        <v>34680</v>
      </c>
      <c r="R413">
        <v>21802.21</v>
      </c>
      <c r="S413">
        <v>12877.79</v>
      </c>
      <c r="T413" t="s">
        <v>73</v>
      </c>
      <c r="U413" t="str">
        <f t="shared" si="18"/>
        <v>2025-01</v>
      </c>
      <c r="V413">
        <f t="shared" si="19"/>
        <v>4</v>
      </c>
      <c r="W413" s="2">
        <f t="shared" si="20"/>
        <v>0.3713318915801615</v>
      </c>
    </row>
    <row r="414" spans="1:23">
      <c r="A414" t="s">
        <v>1003</v>
      </c>
      <c r="B414" s="1">
        <v>45915</v>
      </c>
      <c r="C414" s="1">
        <v>45920</v>
      </c>
      <c r="D414" t="s">
        <v>756</v>
      </c>
      <c r="E414" t="s">
        <v>627</v>
      </c>
      <c r="F414" t="s">
        <v>35</v>
      </c>
      <c r="G414" t="s">
        <v>64</v>
      </c>
      <c r="H414" t="s">
        <v>65</v>
      </c>
      <c r="I414" t="s">
        <v>57</v>
      </c>
      <c r="J414" t="s">
        <v>47</v>
      </c>
      <c r="K414" t="s">
        <v>48</v>
      </c>
      <c r="L414" t="s">
        <v>49</v>
      </c>
      <c r="M414" t="s">
        <v>50</v>
      </c>
      <c r="N414">
        <v>4</v>
      </c>
      <c r="O414">
        <v>451800</v>
      </c>
      <c r="P414">
        <v>0.2</v>
      </c>
      <c r="Q414">
        <v>1445760</v>
      </c>
      <c r="R414">
        <v>1184193.76</v>
      </c>
      <c r="S414">
        <v>261566.24</v>
      </c>
      <c r="T414" t="s">
        <v>60</v>
      </c>
      <c r="U414" t="str">
        <f t="shared" si="18"/>
        <v>2025-09</v>
      </c>
      <c r="V414">
        <f t="shared" si="19"/>
        <v>5</v>
      </c>
      <c r="W414" s="2">
        <f t="shared" si="20"/>
        <v>0.18091954404603805</v>
      </c>
    </row>
    <row r="415" spans="1:23">
      <c r="A415" t="s">
        <v>1004</v>
      </c>
      <c r="B415" s="1">
        <v>45001</v>
      </c>
      <c r="C415" s="1">
        <v>45005</v>
      </c>
      <c r="D415" t="s">
        <v>545</v>
      </c>
      <c r="E415" t="s">
        <v>1005</v>
      </c>
      <c r="F415" t="s">
        <v>23</v>
      </c>
      <c r="G415" t="s">
        <v>44</v>
      </c>
      <c r="H415" t="s">
        <v>45</v>
      </c>
      <c r="I415" t="s">
        <v>46</v>
      </c>
      <c r="J415" t="s">
        <v>36</v>
      </c>
      <c r="K415" t="s">
        <v>37</v>
      </c>
      <c r="L415" t="s">
        <v>38</v>
      </c>
      <c r="M415" t="s">
        <v>39</v>
      </c>
      <c r="N415">
        <v>3</v>
      </c>
      <c r="O415">
        <v>1010100</v>
      </c>
      <c r="P415">
        <v>0</v>
      </c>
      <c r="Q415">
        <v>3030300</v>
      </c>
      <c r="R415">
        <v>2082639.83</v>
      </c>
      <c r="S415">
        <v>947660.17</v>
      </c>
      <c r="T415" t="s">
        <v>31</v>
      </c>
      <c r="U415" t="str">
        <f t="shared" si="18"/>
        <v>2023-03</v>
      </c>
      <c r="V415">
        <f t="shared" si="19"/>
        <v>4</v>
      </c>
      <c r="W415" s="2">
        <f t="shared" si="20"/>
        <v>0.31272816882816884</v>
      </c>
    </row>
    <row r="416" spans="1:23">
      <c r="A416" t="s">
        <v>1006</v>
      </c>
      <c r="B416" s="1">
        <v>45566</v>
      </c>
      <c r="C416" s="1">
        <v>45567</v>
      </c>
      <c r="D416" t="s">
        <v>360</v>
      </c>
      <c r="E416" t="s">
        <v>261</v>
      </c>
      <c r="F416" t="s">
        <v>23</v>
      </c>
      <c r="G416" t="s">
        <v>24</v>
      </c>
      <c r="H416" t="s">
        <v>25</v>
      </c>
      <c r="I416" t="s">
        <v>26</v>
      </c>
      <c r="J416" t="s">
        <v>36</v>
      </c>
      <c r="K416" t="s">
        <v>89</v>
      </c>
      <c r="L416" t="s">
        <v>151</v>
      </c>
      <c r="M416" t="s">
        <v>152</v>
      </c>
      <c r="N416">
        <v>1</v>
      </c>
      <c r="O416">
        <v>1271400</v>
      </c>
      <c r="P416">
        <v>0.15</v>
      </c>
      <c r="Q416">
        <v>1080690</v>
      </c>
      <c r="R416">
        <v>883565.67</v>
      </c>
      <c r="S416">
        <v>197124.33</v>
      </c>
      <c r="T416" t="s">
        <v>73</v>
      </c>
      <c r="U416" t="str">
        <f t="shared" si="18"/>
        <v>2024-10</v>
      </c>
      <c r="V416">
        <f t="shared" si="19"/>
        <v>1</v>
      </c>
      <c r="W416" s="2">
        <f t="shared" si="20"/>
        <v>0.18240599061710572</v>
      </c>
    </row>
    <row r="417" spans="1:23">
      <c r="A417" t="s">
        <v>1007</v>
      </c>
      <c r="B417" s="1">
        <v>45487</v>
      </c>
      <c r="C417" s="1">
        <v>45488</v>
      </c>
      <c r="D417" t="s">
        <v>1008</v>
      </c>
      <c r="E417" t="s">
        <v>864</v>
      </c>
      <c r="F417" t="s">
        <v>35</v>
      </c>
      <c r="G417" t="s">
        <v>24</v>
      </c>
      <c r="H417" t="s">
        <v>25</v>
      </c>
      <c r="I417" t="s">
        <v>26</v>
      </c>
      <c r="J417" t="s">
        <v>47</v>
      </c>
      <c r="K417" t="s">
        <v>142</v>
      </c>
      <c r="L417" t="s">
        <v>143</v>
      </c>
      <c r="M417" t="s">
        <v>144</v>
      </c>
      <c r="N417">
        <v>1</v>
      </c>
      <c r="O417">
        <v>6755900</v>
      </c>
      <c r="P417">
        <v>0.15</v>
      </c>
      <c r="Q417">
        <v>5742515</v>
      </c>
      <c r="R417">
        <v>5537842.4800000004</v>
      </c>
      <c r="S417">
        <v>204672.52</v>
      </c>
      <c r="T417" t="s">
        <v>60</v>
      </c>
      <c r="U417" t="str">
        <f t="shared" si="18"/>
        <v>2024-07</v>
      </c>
      <c r="V417">
        <f t="shared" si="19"/>
        <v>1</v>
      </c>
      <c r="W417" s="2">
        <f t="shared" si="20"/>
        <v>3.5641616957030151E-2</v>
      </c>
    </row>
    <row r="418" spans="1:23">
      <c r="A418" t="s">
        <v>1009</v>
      </c>
      <c r="B418" s="1">
        <v>45620</v>
      </c>
      <c r="C418" s="1">
        <v>45625</v>
      </c>
      <c r="D418" t="s">
        <v>812</v>
      </c>
      <c r="E418" t="s">
        <v>1010</v>
      </c>
      <c r="F418" t="s">
        <v>23</v>
      </c>
      <c r="G418" t="s">
        <v>140</v>
      </c>
      <c r="H418" t="s">
        <v>141</v>
      </c>
      <c r="I418" t="s">
        <v>46</v>
      </c>
      <c r="J418" t="s">
        <v>36</v>
      </c>
      <c r="K418" t="s">
        <v>81</v>
      </c>
      <c r="L418" t="s">
        <v>82</v>
      </c>
      <c r="M418" t="s">
        <v>83</v>
      </c>
      <c r="N418">
        <v>1</v>
      </c>
      <c r="O418">
        <v>592700</v>
      </c>
      <c r="P418">
        <v>0.05</v>
      </c>
      <c r="Q418">
        <v>563065</v>
      </c>
      <c r="R418">
        <v>369187.72</v>
      </c>
      <c r="S418">
        <v>193877.28</v>
      </c>
      <c r="T418" t="s">
        <v>31</v>
      </c>
      <c r="U418" t="str">
        <f t="shared" si="18"/>
        <v>2024-11</v>
      </c>
      <c r="V418">
        <f t="shared" si="19"/>
        <v>5</v>
      </c>
      <c r="W418" s="2">
        <f t="shared" si="20"/>
        <v>0.3443248648024651</v>
      </c>
    </row>
    <row r="419" spans="1:23">
      <c r="A419" t="s">
        <v>1011</v>
      </c>
      <c r="B419" s="1">
        <v>45566</v>
      </c>
      <c r="C419" s="1">
        <v>45569</v>
      </c>
      <c r="D419" t="s">
        <v>542</v>
      </c>
      <c r="E419" t="s">
        <v>568</v>
      </c>
      <c r="F419" t="s">
        <v>35</v>
      </c>
      <c r="G419" t="s">
        <v>64</v>
      </c>
      <c r="H419" t="s">
        <v>65</v>
      </c>
      <c r="I419" t="s">
        <v>57</v>
      </c>
      <c r="J419" t="s">
        <v>27</v>
      </c>
      <c r="K419" t="s">
        <v>100</v>
      </c>
      <c r="L419" t="s">
        <v>105</v>
      </c>
      <c r="M419" t="s">
        <v>106</v>
      </c>
      <c r="N419">
        <v>5</v>
      </c>
      <c r="O419">
        <v>83800</v>
      </c>
      <c r="P419">
        <v>0.05</v>
      </c>
      <c r="Q419">
        <v>398050</v>
      </c>
      <c r="R419">
        <v>245262.09</v>
      </c>
      <c r="S419">
        <v>152787.91</v>
      </c>
      <c r="T419" t="s">
        <v>31</v>
      </c>
      <c r="U419" t="str">
        <f t="shared" si="18"/>
        <v>2024-10</v>
      </c>
      <c r="V419">
        <f t="shared" si="19"/>
        <v>3</v>
      </c>
      <c r="W419" s="2">
        <f t="shared" si="20"/>
        <v>0.38384099987438763</v>
      </c>
    </row>
    <row r="420" spans="1:23">
      <c r="A420" t="s">
        <v>1012</v>
      </c>
      <c r="B420" s="1">
        <v>45385</v>
      </c>
      <c r="C420" s="1">
        <v>45387</v>
      </c>
      <c r="D420" t="s">
        <v>494</v>
      </c>
      <c r="E420" t="s">
        <v>1013</v>
      </c>
      <c r="F420" t="s">
        <v>23</v>
      </c>
      <c r="G420" t="s">
        <v>156</v>
      </c>
      <c r="H420" t="s">
        <v>157</v>
      </c>
      <c r="I420" t="s">
        <v>57</v>
      </c>
      <c r="J420" t="s">
        <v>27</v>
      </c>
      <c r="K420" t="s">
        <v>179</v>
      </c>
      <c r="L420" t="s">
        <v>244</v>
      </c>
      <c r="M420" t="s">
        <v>245</v>
      </c>
      <c r="N420">
        <v>4</v>
      </c>
      <c r="O420">
        <v>41600</v>
      </c>
      <c r="P420">
        <v>0.05</v>
      </c>
      <c r="Q420">
        <v>158080</v>
      </c>
      <c r="R420">
        <v>79367.34</v>
      </c>
      <c r="S420">
        <v>78712.66</v>
      </c>
      <c r="T420" t="s">
        <v>60</v>
      </c>
      <c r="U420" t="str">
        <f t="shared" si="18"/>
        <v>2024-04</v>
      </c>
      <c r="V420">
        <f t="shared" si="19"/>
        <v>2</v>
      </c>
      <c r="W420" s="2">
        <f t="shared" si="20"/>
        <v>0.49792927631578948</v>
      </c>
    </row>
    <row r="421" spans="1:23">
      <c r="A421" t="s">
        <v>1014</v>
      </c>
      <c r="B421" s="1">
        <v>45907</v>
      </c>
      <c r="C421" s="1">
        <v>45911</v>
      </c>
      <c r="D421" t="s">
        <v>62</v>
      </c>
      <c r="E421" t="s">
        <v>326</v>
      </c>
      <c r="F421" t="s">
        <v>35</v>
      </c>
      <c r="G421" t="s">
        <v>156</v>
      </c>
      <c r="H421" t="s">
        <v>157</v>
      </c>
      <c r="I421" t="s">
        <v>57</v>
      </c>
      <c r="J421" t="s">
        <v>27</v>
      </c>
      <c r="K421" t="s">
        <v>179</v>
      </c>
      <c r="L421" t="s">
        <v>244</v>
      </c>
      <c r="M421" t="s">
        <v>245</v>
      </c>
      <c r="N421">
        <v>2</v>
      </c>
      <c r="O421">
        <v>37600</v>
      </c>
      <c r="P421">
        <v>0.15</v>
      </c>
      <c r="Q421">
        <v>63920</v>
      </c>
      <c r="R421">
        <v>36242.92</v>
      </c>
      <c r="S421">
        <v>27677.08</v>
      </c>
      <c r="T421" t="s">
        <v>73</v>
      </c>
      <c r="U421" t="str">
        <f t="shared" si="18"/>
        <v>2025-09</v>
      </c>
      <c r="V421">
        <f t="shared" si="19"/>
        <v>4</v>
      </c>
      <c r="W421" s="2">
        <f t="shared" si="20"/>
        <v>0.43299561952440552</v>
      </c>
    </row>
    <row r="422" spans="1:23">
      <c r="A422" t="s">
        <v>1015</v>
      </c>
      <c r="B422" s="1">
        <v>46018</v>
      </c>
      <c r="C422" s="1">
        <v>46022</v>
      </c>
      <c r="D422" t="s">
        <v>369</v>
      </c>
      <c r="E422" t="s">
        <v>1016</v>
      </c>
      <c r="F422" t="s">
        <v>35</v>
      </c>
      <c r="G422" t="s">
        <v>24</v>
      </c>
      <c r="H422" t="s">
        <v>25</v>
      </c>
      <c r="I422" t="s">
        <v>26</v>
      </c>
      <c r="J422" t="s">
        <v>36</v>
      </c>
      <c r="K422" t="s">
        <v>89</v>
      </c>
      <c r="L422" t="s">
        <v>90</v>
      </c>
      <c r="M422" t="s">
        <v>91</v>
      </c>
      <c r="N422">
        <v>10</v>
      </c>
      <c r="O422">
        <v>3101000</v>
      </c>
      <c r="P422">
        <v>0.05</v>
      </c>
      <c r="Q422">
        <v>29459500</v>
      </c>
      <c r="R422">
        <v>22918446.870000001</v>
      </c>
      <c r="S422">
        <v>6541053.1299999999</v>
      </c>
      <c r="T422" t="s">
        <v>73</v>
      </c>
      <c r="U422" t="str">
        <f t="shared" si="18"/>
        <v>2025-12</v>
      </c>
      <c r="V422">
        <f t="shared" si="19"/>
        <v>4</v>
      </c>
      <c r="W422" s="2">
        <f t="shared" si="20"/>
        <v>0.22203544289617949</v>
      </c>
    </row>
    <row r="423" spans="1:23">
      <c r="A423" t="s">
        <v>1017</v>
      </c>
      <c r="B423" s="1">
        <v>45627</v>
      </c>
      <c r="C423" s="1">
        <v>45632</v>
      </c>
      <c r="D423" t="s">
        <v>399</v>
      </c>
      <c r="E423" t="s">
        <v>1018</v>
      </c>
      <c r="F423" t="s">
        <v>35</v>
      </c>
      <c r="G423" t="s">
        <v>44</v>
      </c>
      <c r="H423" t="s">
        <v>45</v>
      </c>
      <c r="I423" t="s">
        <v>46</v>
      </c>
      <c r="J423" t="s">
        <v>27</v>
      </c>
      <c r="K423" t="s">
        <v>28</v>
      </c>
      <c r="L423" t="s">
        <v>71</v>
      </c>
      <c r="M423" t="s">
        <v>72</v>
      </c>
      <c r="N423">
        <v>1</v>
      </c>
      <c r="O423">
        <v>46400</v>
      </c>
      <c r="P423">
        <v>0.05</v>
      </c>
      <c r="Q423">
        <v>44080</v>
      </c>
      <c r="R423">
        <v>23227.91</v>
      </c>
      <c r="S423">
        <v>20852.09</v>
      </c>
      <c r="T423" t="s">
        <v>40</v>
      </c>
      <c r="U423" t="str">
        <f t="shared" si="18"/>
        <v>2024-12</v>
      </c>
      <c r="V423">
        <f t="shared" si="19"/>
        <v>5</v>
      </c>
      <c r="W423" s="2">
        <f t="shared" si="20"/>
        <v>0.47305104355716876</v>
      </c>
    </row>
    <row r="424" spans="1:23">
      <c r="A424" t="s">
        <v>1019</v>
      </c>
      <c r="B424" s="1">
        <v>45758</v>
      </c>
      <c r="C424" s="1">
        <v>45759</v>
      </c>
      <c r="D424" t="s">
        <v>1020</v>
      </c>
      <c r="E424" t="s">
        <v>874</v>
      </c>
      <c r="F424" t="s">
        <v>35</v>
      </c>
      <c r="G424" t="s">
        <v>55</v>
      </c>
      <c r="H424" t="s">
        <v>56</v>
      </c>
      <c r="I424" t="s">
        <v>57</v>
      </c>
      <c r="J424" t="s">
        <v>36</v>
      </c>
      <c r="K424" t="s">
        <v>37</v>
      </c>
      <c r="L424" t="s">
        <v>58</v>
      </c>
      <c r="M424" t="s">
        <v>59</v>
      </c>
      <c r="N424">
        <v>2</v>
      </c>
      <c r="O424">
        <v>906500</v>
      </c>
      <c r="P424">
        <v>0</v>
      </c>
      <c r="Q424">
        <v>1813000</v>
      </c>
      <c r="R424">
        <v>1152865.3</v>
      </c>
      <c r="S424">
        <v>660134.69999999995</v>
      </c>
      <c r="T424" t="s">
        <v>40</v>
      </c>
      <c r="U424" t="str">
        <f t="shared" si="18"/>
        <v>2025-04</v>
      </c>
      <c r="V424">
        <f t="shared" si="19"/>
        <v>1</v>
      </c>
      <c r="W424" s="2">
        <f t="shared" si="20"/>
        <v>0.36411180364037504</v>
      </c>
    </row>
    <row r="425" spans="1:23">
      <c r="A425" t="s">
        <v>1021</v>
      </c>
      <c r="B425" s="1">
        <v>44927</v>
      </c>
      <c r="C425" s="1">
        <v>44934</v>
      </c>
      <c r="D425" t="s">
        <v>997</v>
      </c>
      <c r="E425" t="s">
        <v>1022</v>
      </c>
      <c r="F425" t="s">
        <v>35</v>
      </c>
      <c r="G425" t="s">
        <v>64</v>
      </c>
      <c r="H425" t="s">
        <v>65</v>
      </c>
      <c r="I425" t="s">
        <v>57</v>
      </c>
      <c r="J425" t="s">
        <v>47</v>
      </c>
      <c r="K425" t="s">
        <v>173</v>
      </c>
      <c r="L425" t="s">
        <v>203</v>
      </c>
      <c r="M425" t="s">
        <v>204</v>
      </c>
      <c r="N425">
        <v>3</v>
      </c>
      <c r="O425">
        <v>3194800</v>
      </c>
      <c r="P425">
        <v>0</v>
      </c>
      <c r="Q425">
        <v>9584400</v>
      </c>
      <c r="R425">
        <v>7750804.8399999999</v>
      </c>
      <c r="S425">
        <v>1833595.16</v>
      </c>
      <c r="T425" t="s">
        <v>40</v>
      </c>
      <c r="U425" t="str">
        <f t="shared" si="18"/>
        <v>2023-01</v>
      </c>
      <c r="V425">
        <f t="shared" si="19"/>
        <v>7</v>
      </c>
      <c r="W425" s="2">
        <f t="shared" si="20"/>
        <v>0.19131037519302199</v>
      </c>
    </row>
    <row r="426" spans="1:23">
      <c r="A426" t="s">
        <v>1023</v>
      </c>
      <c r="B426" s="1">
        <v>45550</v>
      </c>
      <c r="C426" s="1">
        <v>45554</v>
      </c>
      <c r="D426" t="s">
        <v>260</v>
      </c>
      <c r="E426" t="s">
        <v>255</v>
      </c>
      <c r="F426" t="s">
        <v>35</v>
      </c>
      <c r="G426" t="s">
        <v>44</v>
      </c>
      <c r="H426" t="s">
        <v>45</v>
      </c>
      <c r="I426" t="s">
        <v>46</v>
      </c>
      <c r="J426" t="s">
        <v>27</v>
      </c>
      <c r="K426" t="s">
        <v>179</v>
      </c>
      <c r="L426" t="s">
        <v>180</v>
      </c>
      <c r="M426" t="s">
        <v>181</v>
      </c>
      <c r="N426">
        <v>5</v>
      </c>
      <c r="O426">
        <v>60900</v>
      </c>
      <c r="P426">
        <v>0</v>
      </c>
      <c r="Q426">
        <v>304500</v>
      </c>
      <c r="R426">
        <v>172220.36</v>
      </c>
      <c r="S426">
        <v>132279.64000000001</v>
      </c>
      <c r="T426" t="s">
        <v>40</v>
      </c>
      <c r="U426" t="str">
        <f t="shared" si="18"/>
        <v>2024-09</v>
      </c>
      <c r="V426">
        <f t="shared" si="19"/>
        <v>4</v>
      </c>
      <c r="W426" s="2">
        <f t="shared" si="20"/>
        <v>0.43441589490968807</v>
      </c>
    </row>
    <row r="427" spans="1:23">
      <c r="A427" t="s">
        <v>1024</v>
      </c>
      <c r="B427" s="1">
        <v>45662</v>
      </c>
      <c r="C427" s="1">
        <v>45663</v>
      </c>
      <c r="D427" t="s">
        <v>710</v>
      </c>
      <c r="E427" t="s">
        <v>1025</v>
      </c>
      <c r="F427" t="s">
        <v>23</v>
      </c>
      <c r="G427" t="s">
        <v>24</v>
      </c>
      <c r="H427" t="s">
        <v>25</v>
      </c>
      <c r="I427" t="s">
        <v>26</v>
      </c>
      <c r="J427" t="s">
        <v>27</v>
      </c>
      <c r="K427" t="s">
        <v>100</v>
      </c>
      <c r="L427" t="s">
        <v>101</v>
      </c>
      <c r="M427" t="s">
        <v>102</v>
      </c>
      <c r="N427">
        <v>3</v>
      </c>
      <c r="O427">
        <v>61300</v>
      </c>
      <c r="P427">
        <v>0.05</v>
      </c>
      <c r="Q427">
        <v>174705</v>
      </c>
      <c r="R427">
        <v>101810</v>
      </c>
      <c r="S427">
        <v>72895</v>
      </c>
      <c r="T427" t="s">
        <v>40</v>
      </c>
      <c r="U427" t="str">
        <f t="shared" si="18"/>
        <v>2025-01</v>
      </c>
      <c r="V427">
        <f t="shared" si="19"/>
        <v>1</v>
      </c>
      <c r="W427" s="2">
        <f t="shared" si="20"/>
        <v>0.41724621504822412</v>
      </c>
    </row>
    <row r="428" spans="1:23">
      <c r="A428" t="s">
        <v>1026</v>
      </c>
      <c r="B428" s="1">
        <v>45899</v>
      </c>
      <c r="C428" s="1">
        <v>45901</v>
      </c>
      <c r="D428" t="s">
        <v>1027</v>
      </c>
      <c r="E428" t="s">
        <v>1028</v>
      </c>
      <c r="F428" t="s">
        <v>54</v>
      </c>
      <c r="G428" t="s">
        <v>156</v>
      </c>
      <c r="H428" t="s">
        <v>157</v>
      </c>
      <c r="I428" t="s">
        <v>57</v>
      </c>
      <c r="J428" t="s">
        <v>47</v>
      </c>
      <c r="K428" t="s">
        <v>48</v>
      </c>
      <c r="L428" t="s">
        <v>225</v>
      </c>
      <c r="M428" t="s">
        <v>226</v>
      </c>
      <c r="N428">
        <v>1</v>
      </c>
      <c r="O428">
        <v>251200</v>
      </c>
      <c r="P428">
        <v>0</v>
      </c>
      <c r="Q428">
        <v>251200</v>
      </c>
      <c r="R428">
        <v>143411.34</v>
      </c>
      <c r="S428">
        <v>107788.66</v>
      </c>
      <c r="T428" t="s">
        <v>73</v>
      </c>
      <c r="U428" t="str">
        <f t="shared" si="18"/>
        <v>2025-08</v>
      </c>
      <c r="V428">
        <f t="shared" si="19"/>
        <v>2</v>
      </c>
      <c r="W428" s="2">
        <f t="shared" si="20"/>
        <v>0.42909498407643315</v>
      </c>
    </row>
    <row r="429" spans="1:23">
      <c r="A429" t="s">
        <v>1029</v>
      </c>
      <c r="B429" s="1">
        <v>45923</v>
      </c>
      <c r="C429" s="1">
        <v>45929</v>
      </c>
      <c r="D429" t="s">
        <v>393</v>
      </c>
      <c r="E429" t="s">
        <v>654</v>
      </c>
      <c r="F429" t="s">
        <v>23</v>
      </c>
      <c r="G429" t="s">
        <v>44</v>
      </c>
      <c r="H429" t="s">
        <v>45</v>
      </c>
      <c r="I429" t="s">
        <v>46</v>
      </c>
      <c r="J429" t="s">
        <v>36</v>
      </c>
      <c r="K429" t="s">
        <v>81</v>
      </c>
      <c r="L429" t="s">
        <v>82</v>
      </c>
      <c r="M429" t="s">
        <v>83</v>
      </c>
      <c r="N429">
        <v>5</v>
      </c>
      <c r="O429">
        <v>712800</v>
      </c>
      <c r="P429">
        <v>0.1</v>
      </c>
      <c r="Q429">
        <v>3207600</v>
      </c>
      <c r="R429">
        <v>2442772.29</v>
      </c>
      <c r="S429">
        <v>764827.71</v>
      </c>
      <c r="T429" t="s">
        <v>40</v>
      </c>
      <c r="U429" t="str">
        <f t="shared" si="18"/>
        <v>2025-09</v>
      </c>
      <c r="V429">
        <f t="shared" si="19"/>
        <v>6</v>
      </c>
      <c r="W429" s="2">
        <f t="shared" si="20"/>
        <v>0.23844235877291431</v>
      </c>
    </row>
    <row r="430" spans="1:23">
      <c r="A430" t="s">
        <v>1030</v>
      </c>
      <c r="B430" s="1">
        <v>45795</v>
      </c>
      <c r="C430" s="1">
        <v>45800</v>
      </c>
      <c r="D430" t="s">
        <v>962</v>
      </c>
      <c r="E430" t="s">
        <v>680</v>
      </c>
      <c r="F430" t="s">
        <v>23</v>
      </c>
      <c r="G430" t="s">
        <v>156</v>
      </c>
      <c r="H430" t="s">
        <v>157</v>
      </c>
      <c r="I430" t="s">
        <v>57</v>
      </c>
      <c r="J430" t="s">
        <v>27</v>
      </c>
      <c r="K430" t="s">
        <v>116</v>
      </c>
      <c r="L430" t="s">
        <v>117</v>
      </c>
      <c r="M430" t="s">
        <v>118</v>
      </c>
      <c r="N430">
        <v>3</v>
      </c>
      <c r="O430">
        <v>27700</v>
      </c>
      <c r="P430">
        <v>0.2</v>
      </c>
      <c r="Q430">
        <v>66480</v>
      </c>
      <c r="R430">
        <v>39936.28</v>
      </c>
      <c r="S430">
        <v>26543.72</v>
      </c>
      <c r="T430" t="s">
        <v>40</v>
      </c>
      <c r="U430" t="str">
        <f t="shared" si="18"/>
        <v>2025-05</v>
      </c>
      <c r="V430">
        <f t="shared" si="19"/>
        <v>5</v>
      </c>
      <c r="W430" s="2">
        <f t="shared" si="20"/>
        <v>0.39927376654632973</v>
      </c>
    </row>
    <row r="431" spans="1:23">
      <c r="A431" t="s">
        <v>1031</v>
      </c>
      <c r="B431" s="1">
        <v>45678</v>
      </c>
      <c r="C431" s="1">
        <v>45679</v>
      </c>
      <c r="D431" t="s">
        <v>665</v>
      </c>
      <c r="E431" t="s">
        <v>654</v>
      </c>
      <c r="F431" t="s">
        <v>23</v>
      </c>
      <c r="G431" t="s">
        <v>156</v>
      </c>
      <c r="H431" t="s">
        <v>157</v>
      </c>
      <c r="I431" t="s">
        <v>57</v>
      </c>
      <c r="J431" t="s">
        <v>27</v>
      </c>
      <c r="K431" t="s">
        <v>116</v>
      </c>
      <c r="L431" t="s">
        <v>207</v>
      </c>
      <c r="M431" t="s">
        <v>208</v>
      </c>
      <c r="N431">
        <v>8</v>
      </c>
      <c r="O431">
        <v>105500</v>
      </c>
      <c r="P431">
        <v>0.15</v>
      </c>
      <c r="Q431">
        <v>717400</v>
      </c>
      <c r="R431">
        <v>489947.77</v>
      </c>
      <c r="S431">
        <v>227452.23</v>
      </c>
      <c r="T431" t="s">
        <v>40</v>
      </c>
      <c r="U431" t="str">
        <f t="shared" si="18"/>
        <v>2025-01</v>
      </c>
      <c r="V431">
        <f t="shared" si="19"/>
        <v>1</v>
      </c>
      <c r="W431" s="2">
        <f t="shared" si="20"/>
        <v>0.31705078059659886</v>
      </c>
    </row>
    <row r="432" spans="1:23">
      <c r="A432" t="s">
        <v>1032</v>
      </c>
      <c r="B432" s="1">
        <v>45087</v>
      </c>
      <c r="C432" s="1">
        <v>45092</v>
      </c>
      <c r="D432" t="s">
        <v>632</v>
      </c>
      <c r="E432" t="s">
        <v>1033</v>
      </c>
      <c r="F432" t="s">
        <v>23</v>
      </c>
      <c r="G432" t="s">
        <v>24</v>
      </c>
      <c r="H432" t="s">
        <v>25</v>
      </c>
      <c r="I432" t="s">
        <v>26</v>
      </c>
      <c r="J432" t="s">
        <v>27</v>
      </c>
      <c r="K432" t="s">
        <v>100</v>
      </c>
      <c r="L432" t="s">
        <v>105</v>
      </c>
      <c r="M432" t="s">
        <v>106</v>
      </c>
      <c r="N432">
        <v>3</v>
      </c>
      <c r="O432">
        <v>77400</v>
      </c>
      <c r="P432">
        <v>0.1</v>
      </c>
      <c r="Q432">
        <v>208980</v>
      </c>
      <c r="R432">
        <v>138675.22</v>
      </c>
      <c r="S432">
        <v>70304.78</v>
      </c>
      <c r="T432" t="s">
        <v>31</v>
      </c>
      <c r="U432" t="str">
        <f t="shared" si="18"/>
        <v>2023-06</v>
      </c>
      <c r="V432">
        <f t="shared" si="19"/>
        <v>5</v>
      </c>
      <c r="W432" s="2">
        <f t="shared" si="20"/>
        <v>0.33641870035410087</v>
      </c>
    </row>
    <row r="433" spans="1:23">
      <c r="A433" t="s">
        <v>1034</v>
      </c>
      <c r="B433" s="1">
        <v>44949</v>
      </c>
      <c r="C433" s="1">
        <v>44953</v>
      </c>
      <c r="D433" t="s">
        <v>671</v>
      </c>
      <c r="E433" t="s">
        <v>652</v>
      </c>
      <c r="F433" t="s">
        <v>35</v>
      </c>
      <c r="G433" t="s">
        <v>55</v>
      </c>
      <c r="H433" t="s">
        <v>56</v>
      </c>
      <c r="I433" t="s">
        <v>57</v>
      </c>
      <c r="J433" t="s">
        <v>36</v>
      </c>
      <c r="K433" t="s">
        <v>89</v>
      </c>
      <c r="L433" t="s">
        <v>90</v>
      </c>
      <c r="M433" t="s">
        <v>91</v>
      </c>
      <c r="N433">
        <v>2</v>
      </c>
      <c r="O433">
        <v>3512600</v>
      </c>
      <c r="P433">
        <v>0</v>
      </c>
      <c r="Q433">
        <v>7025200</v>
      </c>
      <c r="R433">
        <v>4778844.83</v>
      </c>
      <c r="S433">
        <v>2246355.17</v>
      </c>
      <c r="T433" t="s">
        <v>40</v>
      </c>
      <c r="U433" t="str">
        <f t="shared" si="18"/>
        <v>2023-01</v>
      </c>
      <c r="V433">
        <f t="shared" si="19"/>
        <v>4</v>
      </c>
      <c r="W433" s="2">
        <f t="shared" si="20"/>
        <v>0.31975675710300061</v>
      </c>
    </row>
    <row r="434" spans="1:23">
      <c r="A434" t="s">
        <v>1035</v>
      </c>
      <c r="B434" s="1">
        <v>45460</v>
      </c>
      <c r="C434" s="1">
        <v>45461</v>
      </c>
      <c r="D434" t="s">
        <v>201</v>
      </c>
      <c r="E434" t="s">
        <v>53</v>
      </c>
      <c r="F434" t="s">
        <v>23</v>
      </c>
      <c r="G434" t="s">
        <v>55</v>
      </c>
      <c r="H434" t="s">
        <v>56</v>
      </c>
      <c r="I434" t="s">
        <v>57</v>
      </c>
      <c r="J434" t="s">
        <v>27</v>
      </c>
      <c r="K434" t="s">
        <v>28</v>
      </c>
      <c r="L434" t="s">
        <v>71</v>
      </c>
      <c r="M434" t="s">
        <v>72</v>
      </c>
      <c r="N434">
        <v>4</v>
      </c>
      <c r="O434">
        <v>46700</v>
      </c>
      <c r="P434">
        <v>0</v>
      </c>
      <c r="Q434">
        <v>186800</v>
      </c>
      <c r="R434">
        <v>93321.11</v>
      </c>
      <c r="S434">
        <v>93478.89</v>
      </c>
      <c r="T434" t="s">
        <v>60</v>
      </c>
      <c r="U434" t="str">
        <f t="shared" si="18"/>
        <v>2024-06</v>
      </c>
      <c r="V434">
        <f t="shared" si="19"/>
        <v>1</v>
      </c>
      <c r="W434" s="2">
        <f t="shared" si="20"/>
        <v>0.5004223233404711</v>
      </c>
    </row>
    <row r="435" spans="1:23">
      <c r="A435" t="s">
        <v>1036</v>
      </c>
      <c r="B435" s="1">
        <v>45496</v>
      </c>
      <c r="C435" s="1">
        <v>45499</v>
      </c>
      <c r="D435" t="s">
        <v>812</v>
      </c>
      <c r="E435" t="s">
        <v>1037</v>
      </c>
      <c r="F435" t="s">
        <v>54</v>
      </c>
      <c r="G435" t="s">
        <v>95</v>
      </c>
      <c r="H435" t="s">
        <v>96</v>
      </c>
      <c r="I435" t="s">
        <v>26</v>
      </c>
      <c r="J435" t="s">
        <v>47</v>
      </c>
      <c r="K435" t="s">
        <v>48</v>
      </c>
      <c r="L435" t="s">
        <v>66</v>
      </c>
      <c r="M435" t="s">
        <v>67</v>
      </c>
      <c r="N435">
        <v>4</v>
      </c>
      <c r="O435">
        <v>129100</v>
      </c>
      <c r="P435">
        <v>0.25</v>
      </c>
      <c r="Q435">
        <v>387300</v>
      </c>
      <c r="R435">
        <v>313309.24</v>
      </c>
      <c r="S435">
        <v>73990.759999999995</v>
      </c>
      <c r="T435" t="s">
        <v>31</v>
      </c>
      <c r="U435" t="str">
        <f t="shared" si="18"/>
        <v>2024-07</v>
      </c>
      <c r="V435">
        <f t="shared" si="19"/>
        <v>3</v>
      </c>
      <c r="W435" s="2">
        <f t="shared" si="20"/>
        <v>0.19104249935450554</v>
      </c>
    </row>
    <row r="436" spans="1:23">
      <c r="A436" t="s">
        <v>1038</v>
      </c>
      <c r="B436" s="1">
        <v>45286</v>
      </c>
      <c r="C436" s="1">
        <v>45289</v>
      </c>
      <c r="D436" t="s">
        <v>290</v>
      </c>
      <c r="E436" t="s">
        <v>726</v>
      </c>
      <c r="F436" t="s">
        <v>23</v>
      </c>
      <c r="G436" t="s">
        <v>64</v>
      </c>
      <c r="H436" t="s">
        <v>65</v>
      </c>
      <c r="I436" t="s">
        <v>57</v>
      </c>
      <c r="J436" t="s">
        <v>27</v>
      </c>
      <c r="K436" t="s">
        <v>28</v>
      </c>
      <c r="L436" t="s">
        <v>29</v>
      </c>
      <c r="M436" t="s">
        <v>30</v>
      </c>
      <c r="N436">
        <v>2</v>
      </c>
      <c r="O436">
        <v>62500</v>
      </c>
      <c r="P436">
        <v>0</v>
      </c>
      <c r="Q436">
        <v>125000</v>
      </c>
      <c r="R436">
        <v>72320.34</v>
      </c>
      <c r="S436">
        <v>52679.66</v>
      </c>
      <c r="T436" t="s">
        <v>31</v>
      </c>
      <c r="U436" t="str">
        <f t="shared" si="18"/>
        <v>2023-12</v>
      </c>
      <c r="V436">
        <f t="shared" si="19"/>
        <v>3</v>
      </c>
      <c r="W436" s="2">
        <f t="shared" si="20"/>
        <v>0.42143728000000003</v>
      </c>
    </row>
    <row r="437" spans="1:23">
      <c r="A437" t="s">
        <v>1039</v>
      </c>
      <c r="B437" s="1">
        <v>45772</v>
      </c>
      <c r="C437" s="1">
        <v>45779</v>
      </c>
      <c r="D437" t="s">
        <v>1040</v>
      </c>
      <c r="E437" t="s">
        <v>717</v>
      </c>
      <c r="F437" t="s">
        <v>35</v>
      </c>
      <c r="G437" t="s">
        <v>64</v>
      </c>
      <c r="H437" t="s">
        <v>65</v>
      </c>
      <c r="I437" t="s">
        <v>57</v>
      </c>
      <c r="J437" t="s">
        <v>36</v>
      </c>
      <c r="K437" t="s">
        <v>37</v>
      </c>
      <c r="L437" t="s">
        <v>58</v>
      </c>
      <c r="M437" t="s">
        <v>59</v>
      </c>
      <c r="N437">
        <v>1</v>
      </c>
      <c r="O437">
        <v>923600</v>
      </c>
      <c r="P437">
        <v>0.05</v>
      </c>
      <c r="Q437">
        <v>877420</v>
      </c>
      <c r="R437">
        <v>620447.75</v>
      </c>
      <c r="S437">
        <v>256972.25</v>
      </c>
      <c r="T437" t="s">
        <v>73</v>
      </c>
      <c r="U437" t="str">
        <f t="shared" si="18"/>
        <v>2025-04</v>
      </c>
      <c r="V437">
        <f t="shared" si="19"/>
        <v>7</v>
      </c>
      <c r="W437" s="2">
        <f t="shared" si="20"/>
        <v>0.29287256957899294</v>
      </c>
    </row>
    <row r="438" spans="1:23">
      <c r="A438" t="s">
        <v>1041</v>
      </c>
      <c r="B438" s="1">
        <v>45877</v>
      </c>
      <c r="C438" s="1">
        <v>45881</v>
      </c>
      <c r="D438" t="s">
        <v>1042</v>
      </c>
      <c r="E438" t="s">
        <v>1043</v>
      </c>
      <c r="F438" t="s">
        <v>23</v>
      </c>
      <c r="G438" t="s">
        <v>87</v>
      </c>
      <c r="H438" t="s">
        <v>88</v>
      </c>
      <c r="I438" t="s">
        <v>46</v>
      </c>
      <c r="J438" t="s">
        <v>36</v>
      </c>
      <c r="K438" t="s">
        <v>89</v>
      </c>
      <c r="L438" t="s">
        <v>90</v>
      </c>
      <c r="M438" t="s">
        <v>91</v>
      </c>
      <c r="N438">
        <v>2</v>
      </c>
      <c r="O438">
        <v>2935600</v>
      </c>
      <c r="P438">
        <v>0.2</v>
      </c>
      <c r="Q438">
        <v>4696960</v>
      </c>
      <c r="R438">
        <v>3910686.18</v>
      </c>
      <c r="S438">
        <v>786273.82</v>
      </c>
      <c r="T438" t="s">
        <v>40</v>
      </c>
      <c r="U438" t="str">
        <f t="shared" si="18"/>
        <v>2025-08</v>
      </c>
      <c r="V438">
        <f t="shared" si="19"/>
        <v>4</v>
      </c>
      <c r="W438" s="2">
        <f t="shared" si="20"/>
        <v>0.16740057824635507</v>
      </c>
    </row>
    <row r="439" spans="1:23">
      <c r="A439" t="s">
        <v>1044</v>
      </c>
      <c r="B439" s="1">
        <v>45573</v>
      </c>
      <c r="C439" s="1">
        <v>45578</v>
      </c>
      <c r="D439" t="s">
        <v>410</v>
      </c>
      <c r="E439" t="s">
        <v>1045</v>
      </c>
      <c r="F439" t="s">
        <v>54</v>
      </c>
      <c r="G439" t="s">
        <v>44</v>
      </c>
      <c r="H439" t="s">
        <v>45</v>
      </c>
      <c r="I439" t="s">
        <v>46</v>
      </c>
      <c r="J439" t="s">
        <v>27</v>
      </c>
      <c r="K439" t="s">
        <v>100</v>
      </c>
      <c r="L439" t="s">
        <v>101</v>
      </c>
      <c r="M439" t="s">
        <v>102</v>
      </c>
      <c r="N439">
        <v>8</v>
      </c>
      <c r="O439">
        <v>57700</v>
      </c>
      <c r="P439">
        <v>0.25</v>
      </c>
      <c r="Q439">
        <v>346200</v>
      </c>
      <c r="R439">
        <v>269515.51</v>
      </c>
      <c r="S439">
        <v>76684.490000000005</v>
      </c>
      <c r="T439" t="s">
        <v>60</v>
      </c>
      <c r="U439" t="str">
        <f t="shared" si="18"/>
        <v>2024-10</v>
      </c>
      <c r="V439">
        <f t="shared" si="19"/>
        <v>5</v>
      </c>
      <c r="W439" s="2">
        <f t="shared" si="20"/>
        <v>0.22150343731946853</v>
      </c>
    </row>
    <row r="440" spans="1:23">
      <c r="A440" t="s">
        <v>1046</v>
      </c>
      <c r="B440" s="1">
        <v>45128</v>
      </c>
      <c r="C440" s="1">
        <v>45131</v>
      </c>
      <c r="D440" t="s">
        <v>393</v>
      </c>
      <c r="E440" t="s">
        <v>625</v>
      </c>
      <c r="F440" t="s">
        <v>35</v>
      </c>
      <c r="G440" t="s">
        <v>64</v>
      </c>
      <c r="H440" t="s">
        <v>65</v>
      </c>
      <c r="I440" t="s">
        <v>57</v>
      </c>
      <c r="J440" t="s">
        <v>27</v>
      </c>
      <c r="K440" t="s">
        <v>116</v>
      </c>
      <c r="L440" t="s">
        <v>117</v>
      </c>
      <c r="M440" t="s">
        <v>118</v>
      </c>
      <c r="N440">
        <v>4</v>
      </c>
      <c r="O440">
        <v>27800</v>
      </c>
      <c r="P440">
        <v>0</v>
      </c>
      <c r="Q440">
        <v>111200</v>
      </c>
      <c r="R440">
        <v>54153.599999999999</v>
      </c>
      <c r="S440">
        <v>57046.400000000001</v>
      </c>
      <c r="T440" t="s">
        <v>73</v>
      </c>
      <c r="U440" t="str">
        <f t="shared" si="18"/>
        <v>2023-07</v>
      </c>
      <c r="V440">
        <f t="shared" si="19"/>
        <v>3</v>
      </c>
      <c r="W440" s="2">
        <f t="shared" si="20"/>
        <v>0.51300719424460428</v>
      </c>
    </row>
    <row r="441" spans="1:23">
      <c r="A441" t="s">
        <v>1047</v>
      </c>
      <c r="B441" s="1">
        <v>44948</v>
      </c>
      <c r="C441" s="1">
        <v>44954</v>
      </c>
      <c r="D441" t="s">
        <v>898</v>
      </c>
      <c r="E441" t="s">
        <v>1048</v>
      </c>
      <c r="F441" t="s">
        <v>23</v>
      </c>
      <c r="G441" t="s">
        <v>140</v>
      </c>
      <c r="H441" t="s">
        <v>141</v>
      </c>
      <c r="I441" t="s">
        <v>46</v>
      </c>
      <c r="J441" t="s">
        <v>47</v>
      </c>
      <c r="K441" t="s">
        <v>142</v>
      </c>
      <c r="L441" t="s">
        <v>143</v>
      </c>
      <c r="M441" t="s">
        <v>144</v>
      </c>
      <c r="N441">
        <v>3</v>
      </c>
      <c r="O441">
        <v>5961700</v>
      </c>
      <c r="P441">
        <v>0.15</v>
      </c>
      <c r="Q441">
        <v>15202335</v>
      </c>
      <c r="R441">
        <v>14061215.449999999</v>
      </c>
      <c r="S441">
        <v>1141119.55</v>
      </c>
      <c r="T441" t="s">
        <v>31</v>
      </c>
      <c r="U441" t="str">
        <f t="shared" si="18"/>
        <v>2023-01</v>
      </c>
      <c r="V441">
        <f t="shared" si="19"/>
        <v>6</v>
      </c>
      <c r="W441" s="2">
        <f t="shared" si="20"/>
        <v>7.5062123680342527E-2</v>
      </c>
    </row>
    <row r="442" spans="1:23">
      <c r="A442" t="s">
        <v>1049</v>
      </c>
      <c r="B442" s="1">
        <v>45115</v>
      </c>
      <c r="C442" s="1">
        <v>45116</v>
      </c>
      <c r="D442" t="s">
        <v>1050</v>
      </c>
      <c r="E442" t="s">
        <v>1051</v>
      </c>
      <c r="F442" t="s">
        <v>35</v>
      </c>
      <c r="G442" t="s">
        <v>55</v>
      </c>
      <c r="H442" t="s">
        <v>56</v>
      </c>
      <c r="I442" t="s">
        <v>57</v>
      </c>
      <c r="J442" t="s">
        <v>27</v>
      </c>
      <c r="K442" t="s">
        <v>28</v>
      </c>
      <c r="L442" t="s">
        <v>29</v>
      </c>
      <c r="M442" t="s">
        <v>30</v>
      </c>
      <c r="N442">
        <v>1</v>
      </c>
      <c r="O442">
        <v>70200</v>
      </c>
      <c r="P442">
        <v>0.05</v>
      </c>
      <c r="Q442">
        <v>66690</v>
      </c>
      <c r="R442">
        <v>39776.92</v>
      </c>
      <c r="S442">
        <v>26913.08</v>
      </c>
      <c r="T442" t="s">
        <v>31</v>
      </c>
      <c r="U442" t="str">
        <f t="shared" si="18"/>
        <v>2023-07</v>
      </c>
      <c r="V442">
        <f t="shared" si="19"/>
        <v>1</v>
      </c>
      <c r="W442" s="2">
        <f t="shared" si="20"/>
        <v>0.40355495576548212</v>
      </c>
    </row>
    <row r="443" spans="1:23">
      <c r="A443" t="s">
        <v>1052</v>
      </c>
      <c r="B443" s="1">
        <v>45304</v>
      </c>
      <c r="C443" s="1">
        <v>45307</v>
      </c>
      <c r="D443" t="s">
        <v>1053</v>
      </c>
      <c r="E443" t="s">
        <v>882</v>
      </c>
      <c r="F443" t="s">
        <v>54</v>
      </c>
      <c r="G443" t="s">
        <v>64</v>
      </c>
      <c r="H443" t="s">
        <v>65</v>
      </c>
      <c r="I443" t="s">
        <v>57</v>
      </c>
      <c r="J443" t="s">
        <v>47</v>
      </c>
      <c r="K443" t="s">
        <v>142</v>
      </c>
      <c r="L443" t="s">
        <v>143</v>
      </c>
      <c r="M443" t="s">
        <v>144</v>
      </c>
      <c r="N443">
        <v>4</v>
      </c>
      <c r="O443">
        <v>6419000</v>
      </c>
      <c r="P443">
        <v>0.1</v>
      </c>
      <c r="Q443">
        <v>23108400</v>
      </c>
      <c r="R443">
        <v>21570213.469999999</v>
      </c>
      <c r="S443">
        <v>1538186.53</v>
      </c>
      <c r="T443" t="s">
        <v>60</v>
      </c>
      <c r="U443" t="str">
        <f t="shared" si="18"/>
        <v>2024-01</v>
      </c>
      <c r="V443">
        <f t="shared" si="19"/>
        <v>3</v>
      </c>
      <c r="W443" s="2">
        <f t="shared" si="20"/>
        <v>6.6563956396808094E-2</v>
      </c>
    </row>
    <row r="444" spans="1:23">
      <c r="A444" t="s">
        <v>1054</v>
      </c>
      <c r="B444" s="1">
        <v>45078</v>
      </c>
      <c r="C444" s="1">
        <v>45081</v>
      </c>
      <c r="D444" t="s">
        <v>1055</v>
      </c>
      <c r="E444" t="s">
        <v>336</v>
      </c>
      <c r="F444" t="s">
        <v>23</v>
      </c>
      <c r="G444" t="s">
        <v>169</v>
      </c>
      <c r="H444" t="s">
        <v>157</v>
      </c>
      <c r="I444" t="s">
        <v>57</v>
      </c>
      <c r="J444" t="s">
        <v>27</v>
      </c>
      <c r="K444" t="s">
        <v>116</v>
      </c>
      <c r="L444" t="s">
        <v>117</v>
      </c>
      <c r="M444" t="s">
        <v>118</v>
      </c>
      <c r="N444">
        <v>1</v>
      </c>
      <c r="O444">
        <v>29100</v>
      </c>
      <c r="P444">
        <v>0</v>
      </c>
      <c r="Q444">
        <v>29100</v>
      </c>
      <c r="R444">
        <v>13674.69</v>
      </c>
      <c r="S444">
        <v>15425.31</v>
      </c>
      <c r="T444" t="s">
        <v>31</v>
      </c>
      <c r="U444" t="str">
        <f t="shared" si="18"/>
        <v>2023-06</v>
      </c>
      <c r="V444">
        <f t="shared" si="19"/>
        <v>3</v>
      </c>
      <c r="W444" s="2">
        <f t="shared" si="20"/>
        <v>0.53007938144329891</v>
      </c>
    </row>
    <row r="445" spans="1:23">
      <c r="A445" t="s">
        <v>1056</v>
      </c>
      <c r="B445" s="1">
        <v>45292</v>
      </c>
      <c r="C445" s="1">
        <v>45298</v>
      </c>
      <c r="D445" t="s">
        <v>898</v>
      </c>
      <c r="E445" t="s">
        <v>352</v>
      </c>
      <c r="F445" t="s">
        <v>35</v>
      </c>
      <c r="G445" t="s">
        <v>87</v>
      </c>
      <c r="H445" t="s">
        <v>88</v>
      </c>
      <c r="I445" t="s">
        <v>46</v>
      </c>
      <c r="J445" t="s">
        <v>36</v>
      </c>
      <c r="K445" t="s">
        <v>81</v>
      </c>
      <c r="L445" t="s">
        <v>82</v>
      </c>
      <c r="M445" t="s">
        <v>83</v>
      </c>
      <c r="N445">
        <v>3</v>
      </c>
      <c r="O445">
        <v>600200</v>
      </c>
      <c r="P445">
        <v>0.05</v>
      </c>
      <c r="Q445">
        <v>1710570</v>
      </c>
      <c r="R445">
        <v>1133565.01</v>
      </c>
      <c r="S445">
        <v>577004.99</v>
      </c>
      <c r="T445" t="s">
        <v>73</v>
      </c>
      <c r="U445" t="str">
        <f t="shared" si="18"/>
        <v>2024-01</v>
      </c>
      <c r="V445">
        <f t="shared" si="19"/>
        <v>6</v>
      </c>
      <c r="W445" s="2">
        <f t="shared" si="20"/>
        <v>0.33731737958692132</v>
      </c>
    </row>
    <row r="446" spans="1:23">
      <c r="A446" t="s">
        <v>1057</v>
      </c>
      <c r="B446" s="1">
        <v>45440</v>
      </c>
      <c r="C446" s="1">
        <v>45447</v>
      </c>
      <c r="D446" t="s">
        <v>390</v>
      </c>
      <c r="E446" t="s">
        <v>1058</v>
      </c>
      <c r="F446" t="s">
        <v>35</v>
      </c>
      <c r="G446" t="s">
        <v>80</v>
      </c>
      <c r="H446" t="s">
        <v>45</v>
      </c>
      <c r="I446" t="s">
        <v>46</v>
      </c>
      <c r="J446" t="s">
        <v>36</v>
      </c>
      <c r="K446" t="s">
        <v>89</v>
      </c>
      <c r="L446" t="s">
        <v>90</v>
      </c>
      <c r="M446" t="s">
        <v>91</v>
      </c>
      <c r="N446">
        <v>6</v>
      </c>
      <c r="O446">
        <v>3295600</v>
      </c>
      <c r="P446">
        <v>0</v>
      </c>
      <c r="Q446">
        <v>19773600</v>
      </c>
      <c r="R446">
        <v>14409121.65</v>
      </c>
      <c r="S446">
        <v>5364478.3499999996</v>
      </c>
      <c r="T446" t="s">
        <v>31</v>
      </c>
      <c r="U446" t="str">
        <f t="shared" si="18"/>
        <v>2024-05</v>
      </c>
      <c r="V446">
        <f t="shared" si="19"/>
        <v>7</v>
      </c>
      <c r="W446" s="2">
        <f t="shared" si="20"/>
        <v>0.271294976635514</v>
      </c>
    </row>
    <row r="447" spans="1:23">
      <c r="A447" t="s">
        <v>1059</v>
      </c>
      <c r="B447" s="1">
        <v>45982</v>
      </c>
      <c r="C447" s="1">
        <v>45988</v>
      </c>
      <c r="D447" t="s">
        <v>325</v>
      </c>
      <c r="E447" t="s">
        <v>1060</v>
      </c>
      <c r="F447" t="s">
        <v>23</v>
      </c>
      <c r="G447" t="s">
        <v>64</v>
      </c>
      <c r="H447" t="s">
        <v>65</v>
      </c>
      <c r="I447" t="s">
        <v>57</v>
      </c>
      <c r="J447" t="s">
        <v>27</v>
      </c>
      <c r="K447" t="s">
        <v>116</v>
      </c>
      <c r="L447" t="s">
        <v>207</v>
      </c>
      <c r="M447" t="s">
        <v>208</v>
      </c>
      <c r="N447">
        <v>2</v>
      </c>
      <c r="O447">
        <v>103600</v>
      </c>
      <c r="P447">
        <v>0.25</v>
      </c>
      <c r="Q447">
        <v>155400</v>
      </c>
      <c r="R447">
        <v>124757.62</v>
      </c>
      <c r="S447">
        <v>30642.38</v>
      </c>
      <c r="T447" t="s">
        <v>31</v>
      </c>
      <c r="U447" t="str">
        <f t="shared" si="18"/>
        <v>2025-11</v>
      </c>
      <c r="V447">
        <f t="shared" si="19"/>
        <v>6</v>
      </c>
      <c r="W447" s="2">
        <f t="shared" si="20"/>
        <v>0.19718391248391248</v>
      </c>
    </row>
    <row r="448" spans="1:23">
      <c r="A448" t="s">
        <v>1061</v>
      </c>
      <c r="B448" s="1">
        <v>45662</v>
      </c>
      <c r="C448" s="1">
        <v>45665</v>
      </c>
      <c r="D448" t="s">
        <v>52</v>
      </c>
      <c r="E448" t="s">
        <v>492</v>
      </c>
      <c r="F448" t="s">
        <v>35</v>
      </c>
      <c r="G448" t="s">
        <v>140</v>
      </c>
      <c r="H448" t="s">
        <v>141</v>
      </c>
      <c r="I448" t="s">
        <v>46</v>
      </c>
      <c r="J448" t="s">
        <v>27</v>
      </c>
      <c r="K448" t="s">
        <v>116</v>
      </c>
      <c r="L448" t="s">
        <v>117</v>
      </c>
      <c r="M448" t="s">
        <v>118</v>
      </c>
      <c r="N448">
        <v>2</v>
      </c>
      <c r="O448">
        <v>29400</v>
      </c>
      <c r="P448">
        <v>0.05</v>
      </c>
      <c r="Q448">
        <v>55860</v>
      </c>
      <c r="R448">
        <v>30522.1</v>
      </c>
      <c r="S448">
        <v>25337.9</v>
      </c>
      <c r="T448" t="s">
        <v>31</v>
      </c>
      <c r="U448" t="str">
        <f t="shared" si="18"/>
        <v>2025-01</v>
      </c>
      <c r="V448">
        <f t="shared" si="19"/>
        <v>3</v>
      </c>
      <c r="W448" s="2">
        <f t="shared" si="20"/>
        <v>0.45359649122807022</v>
      </c>
    </row>
    <row r="449" spans="1:23">
      <c r="A449" t="s">
        <v>1062</v>
      </c>
      <c r="B449" s="1">
        <v>45288</v>
      </c>
      <c r="C449" s="1">
        <v>45293</v>
      </c>
      <c r="D449" t="s">
        <v>272</v>
      </c>
      <c r="E449" t="s">
        <v>1063</v>
      </c>
      <c r="F449" t="s">
        <v>23</v>
      </c>
      <c r="G449" t="s">
        <v>24</v>
      </c>
      <c r="H449" t="s">
        <v>25</v>
      </c>
      <c r="I449" t="s">
        <v>26</v>
      </c>
      <c r="J449" t="s">
        <v>47</v>
      </c>
      <c r="K449" t="s">
        <v>48</v>
      </c>
      <c r="L449" t="s">
        <v>225</v>
      </c>
      <c r="M449" t="s">
        <v>226</v>
      </c>
      <c r="N449">
        <v>6</v>
      </c>
      <c r="O449">
        <v>238900</v>
      </c>
      <c r="P449">
        <v>0.05</v>
      </c>
      <c r="Q449">
        <v>1361730</v>
      </c>
      <c r="R449">
        <v>826526.07</v>
      </c>
      <c r="S449">
        <v>535203.93000000005</v>
      </c>
      <c r="T449" t="s">
        <v>40</v>
      </c>
      <c r="U449" t="str">
        <f t="shared" si="18"/>
        <v>2023-12</v>
      </c>
      <c r="V449">
        <f t="shared" si="19"/>
        <v>5</v>
      </c>
      <c r="W449" s="2">
        <f t="shared" si="20"/>
        <v>0.39303234121301583</v>
      </c>
    </row>
    <row r="450" spans="1:23">
      <c r="A450" t="s">
        <v>1064</v>
      </c>
      <c r="B450" s="1">
        <v>45213</v>
      </c>
      <c r="C450" s="1">
        <v>45214</v>
      </c>
      <c r="D450" t="s">
        <v>1027</v>
      </c>
      <c r="E450" t="s">
        <v>1065</v>
      </c>
      <c r="F450" t="s">
        <v>23</v>
      </c>
      <c r="G450" t="s">
        <v>64</v>
      </c>
      <c r="H450" t="s">
        <v>65</v>
      </c>
      <c r="I450" t="s">
        <v>57</v>
      </c>
      <c r="J450" t="s">
        <v>47</v>
      </c>
      <c r="K450" t="s">
        <v>173</v>
      </c>
      <c r="L450" t="s">
        <v>174</v>
      </c>
      <c r="M450" t="s">
        <v>175</v>
      </c>
      <c r="N450">
        <v>2</v>
      </c>
      <c r="O450">
        <v>5227800</v>
      </c>
      <c r="P450">
        <v>0.15</v>
      </c>
      <c r="Q450">
        <v>8887260</v>
      </c>
      <c r="R450">
        <v>8434960.9800000004</v>
      </c>
      <c r="S450">
        <v>452299.02</v>
      </c>
      <c r="T450" t="s">
        <v>60</v>
      </c>
      <c r="U450" t="str">
        <f t="shared" si="18"/>
        <v>2023-10</v>
      </c>
      <c r="V450">
        <f t="shared" si="19"/>
        <v>1</v>
      </c>
      <c r="W450" s="2">
        <f t="shared" si="20"/>
        <v>5.0892965885998613E-2</v>
      </c>
    </row>
    <row r="451" spans="1:23">
      <c r="A451" t="s">
        <v>1066</v>
      </c>
      <c r="B451" s="1">
        <v>45041</v>
      </c>
      <c r="C451" s="1">
        <v>45044</v>
      </c>
      <c r="D451" t="s">
        <v>331</v>
      </c>
      <c r="E451" t="s">
        <v>1067</v>
      </c>
      <c r="F451" t="s">
        <v>23</v>
      </c>
      <c r="G451" t="s">
        <v>169</v>
      </c>
      <c r="H451" t="s">
        <v>157</v>
      </c>
      <c r="I451" t="s">
        <v>57</v>
      </c>
      <c r="J451" t="s">
        <v>27</v>
      </c>
      <c r="K451" t="s">
        <v>100</v>
      </c>
      <c r="L451" t="s">
        <v>101</v>
      </c>
      <c r="M451" t="s">
        <v>102</v>
      </c>
      <c r="N451">
        <v>8</v>
      </c>
      <c r="O451">
        <v>63300</v>
      </c>
      <c r="P451">
        <v>0.1</v>
      </c>
      <c r="Q451">
        <v>455760</v>
      </c>
      <c r="R451">
        <v>291425.7</v>
      </c>
      <c r="S451">
        <v>164334.29999999999</v>
      </c>
      <c r="T451" t="s">
        <v>40</v>
      </c>
      <c r="U451" t="str">
        <f t="shared" ref="U451:U514" si="21">TEXT(B451,"yyyy-mm")</f>
        <v>2023-04</v>
      </c>
      <c r="V451">
        <f t="shared" ref="V451:V514" si="22">C451-B451</f>
        <v>3</v>
      </c>
      <c r="W451" s="2">
        <f t="shared" ref="W451:W514" si="23">IF(Q451=0,0,S451/Q451)</f>
        <v>0.36057201158504476</v>
      </c>
    </row>
    <row r="452" spans="1:23">
      <c r="A452" t="s">
        <v>1068</v>
      </c>
      <c r="B452" s="1">
        <v>45002</v>
      </c>
      <c r="C452" s="1">
        <v>45008</v>
      </c>
      <c r="D452" t="s">
        <v>367</v>
      </c>
      <c r="E452" t="s">
        <v>282</v>
      </c>
      <c r="F452" t="s">
        <v>54</v>
      </c>
      <c r="G452" t="s">
        <v>64</v>
      </c>
      <c r="H452" t="s">
        <v>65</v>
      </c>
      <c r="I452" t="s">
        <v>57</v>
      </c>
      <c r="J452" t="s">
        <v>47</v>
      </c>
      <c r="K452" t="s">
        <v>142</v>
      </c>
      <c r="L452" t="s">
        <v>158</v>
      </c>
      <c r="M452" t="s">
        <v>159</v>
      </c>
      <c r="N452">
        <v>1</v>
      </c>
      <c r="O452">
        <v>8550400</v>
      </c>
      <c r="P452">
        <v>0</v>
      </c>
      <c r="Q452">
        <v>8550400</v>
      </c>
      <c r="R452">
        <v>6884370.5599999996</v>
      </c>
      <c r="S452">
        <v>1666029.44</v>
      </c>
      <c r="T452" t="s">
        <v>31</v>
      </c>
      <c r="U452" t="str">
        <f t="shared" si="21"/>
        <v>2023-03</v>
      </c>
      <c r="V452">
        <f t="shared" si="22"/>
        <v>6</v>
      </c>
      <c r="W452" s="2">
        <f t="shared" si="23"/>
        <v>0.19484812874251498</v>
      </c>
    </row>
    <row r="453" spans="1:23">
      <c r="A453" t="s">
        <v>1069</v>
      </c>
      <c r="B453" s="1">
        <v>45126</v>
      </c>
      <c r="C453" s="1">
        <v>45130</v>
      </c>
      <c r="D453" t="s">
        <v>966</v>
      </c>
      <c r="E453" t="s">
        <v>1070</v>
      </c>
      <c r="F453" t="s">
        <v>35</v>
      </c>
      <c r="G453" t="s">
        <v>44</v>
      </c>
      <c r="H453" t="s">
        <v>45</v>
      </c>
      <c r="I453" t="s">
        <v>46</v>
      </c>
      <c r="J453" t="s">
        <v>36</v>
      </c>
      <c r="K453" t="s">
        <v>37</v>
      </c>
      <c r="L453" t="s">
        <v>38</v>
      </c>
      <c r="M453" t="s">
        <v>39</v>
      </c>
      <c r="N453">
        <v>1</v>
      </c>
      <c r="O453">
        <v>1010300</v>
      </c>
      <c r="P453">
        <v>0.1</v>
      </c>
      <c r="Q453">
        <v>909270</v>
      </c>
      <c r="R453">
        <v>658290.19999999995</v>
      </c>
      <c r="S453">
        <v>250979.8</v>
      </c>
      <c r="T453" t="s">
        <v>31</v>
      </c>
      <c r="U453" t="str">
        <f t="shared" si="21"/>
        <v>2023-07</v>
      </c>
      <c r="V453">
        <f t="shared" si="22"/>
        <v>4</v>
      </c>
      <c r="W453" s="2">
        <f t="shared" si="23"/>
        <v>0.27602340338953224</v>
      </c>
    </row>
    <row r="454" spans="1:23">
      <c r="A454" t="s">
        <v>1071</v>
      </c>
      <c r="B454" s="1">
        <v>45750</v>
      </c>
      <c r="C454" s="1">
        <v>45753</v>
      </c>
      <c r="D454" t="s">
        <v>1072</v>
      </c>
      <c r="E454" t="s">
        <v>403</v>
      </c>
      <c r="F454" t="s">
        <v>54</v>
      </c>
      <c r="G454" t="s">
        <v>156</v>
      </c>
      <c r="H454" t="s">
        <v>157</v>
      </c>
      <c r="I454" t="s">
        <v>57</v>
      </c>
      <c r="J454" t="s">
        <v>47</v>
      </c>
      <c r="K454" t="s">
        <v>173</v>
      </c>
      <c r="L454" t="s">
        <v>203</v>
      </c>
      <c r="M454" t="s">
        <v>204</v>
      </c>
      <c r="N454">
        <v>4</v>
      </c>
      <c r="O454">
        <v>3297500</v>
      </c>
      <c r="P454">
        <v>0.05</v>
      </c>
      <c r="Q454">
        <v>12530500</v>
      </c>
      <c r="R454">
        <v>9680532.1400000006</v>
      </c>
      <c r="S454">
        <v>2849967.86</v>
      </c>
      <c r="T454" t="s">
        <v>73</v>
      </c>
      <c r="U454" t="str">
        <f t="shared" si="21"/>
        <v>2025-04</v>
      </c>
      <c r="V454">
        <f t="shared" si="22"/>
        <v>3</v>
      </c>
      <c r="W454" s="2">
        <f t="shared" si="23"/>
        <v>0.22744246917521246</v>
      </c>
    </row>
    <row r="455" spans="1:23">
      <c r="A455" t="s">
        <v>1073</v>
      </c>
      <c r="B455" s="1">
        <v>45271</v>
      </c>
      <c r="C455" s="1">
        <v>45277</v>
      </c>
      <c r="D455" t="s">
        <v>868</v>
      </c>
      <c r="E455" t="s">
        <v>1074</v>
      </c>
      <c r="F455" t="s">
        <v>23</v>
      </c>
      <c r="G455" t="s">
        <v>64</v>
      </c>
      <c r="H455" t="s">
        <v>65</v>
      </c>
      <c r="I455" t="s">
        <v>57</v>
      </c>
      <c r="J455" t="s">
        <v>36</v>
      </c>
      <c r="K455" t="s">
        <v>81</v>
      </c>
      <c r="L455" t="s">
        <v>82</v>
      </c>
      <c r="M455" t="s">
        <v>83</v>
      </c>
      <c r="N455">
        <v>1</v>
      </c>
      <c r="O455">
        <v>698100</v>
      </c>
      <c r="P455">
        <v>0.1</v>
      </c>
      <c r="Q455">
        <v>628290</v>
      </c>
      <c r="R455">
        <v>446291.21</v>
      </c>
      <c r="S455">
        <v>181998.79</v>
      </c>
      <c r="T455" t="s">
        <v>31</v>
      </c>
      <c r="U455" t="str">
        <f t="shared" si="21"/>
        <v>2023-12</v>
      </c>
      <c r="V455">
        <f t="shared" si="22"/>
        <v>6</v>
      </c>
      <c r="W455" s="2">
        <f t="shared" si="23"/>
        <v>0.2896732241480845</v>
      </c>
    </row>
    <row r="456" spans="1:23">
      <c r="A456" t="s">
        <v>1075</v>
      </c>
      <c r="B456" s="1">
        <v>45924</v>
      </c>
      <c r="C456" s="1">
        <v>45925</v>
      </c>
      <c r="D456" t="s">
        <v>339</v>
      </c>
      <c r="E456" t="s">
        <v>136</v>
      </c>
      <c r="F456" t="s">
        <v>35</v>
      </c>
      <c r="G456" t="s">
        <v>44</v>
      </c>
      <c r="H456" t="s">
        <v>45</v>
      </c>
      <c r="I456" t="s">
        <v>46</v>
      </c>
      <c r="J456" t="s">
        <v>47</v>
      </c>
      <c r="K456" t="s">
        <v>173</v>
      </c>
      <c r="L456" t="s">
        <v>203</v>
      </c>
      <c r="M456" t="s">
        <v>204</v>
      </c>
      <c r="N456">
        <v>2</v>
      </c>
      <c r="O456">
        <v>3448400</v>
      </c>
      <c r="P456">
        <v>0.15</v>
      </c>
      <c r="Q456">
        <v>5862280</v>
      </c>
      <c r="R456">
        <v>5451265.2300000004</v>
      </c>
      <c r="S456">
        <v>411014.77</v>
      </c>
      <c r="T456" t="s">
        <v>60</v>
      </c>
      <c r="U456" t="str">
        <f t="shared" si="21"/>
        <v>2025-09</v>
      </c>
      <c r="V456">
        <f t="shared" si="22"/>
        <v>1</v>
      </c>
      <c r="W456" s="2">
        <f t="shared" si="23"/>
        <v>7.0111760270747905E-2</v>
      </c>
    </row>
    <row r="457" spans="1:23">
      <c r="A457" t="s">
        <v>1076</v>
      </c>
      <c r="B457" s="1">
        <v>45481</v>
      </c>
      <c r="C457" s="1">
        <v>45486</v>
      </c>
      <c r="D457" t="s">
        <v>254</v>
      </c>
      <c r="E457" t="s">
        <v>184</v>
      </c>
      <c r="F457" t="s">
        <v>35</v>
      </c>
      <c r="G457" t="s">
        <v>80</v>
      </c>
      <c r="H457" t="s">
        <v>45</v>
      </c>
      <c r="I457" t="s">
        <v>46</v>
      </c>
      <c r="J457" t="s">
        <v>36</v>
      </c>
      <c r="K457" t="s">
        <v>81</v>
      </c>
      <c r="L457" t="s">
        <v>82</v>
      </c>
      <c r="M457" t="s">
        <v>83</v>
      </c>
      <c r="N457">
        <v>3</v>
      </c>
      <c r="O457">
        <v>687600</v>
      </c>
      <c r="P457">
        <v>0.1</v>
      </c>
      <c r="Q457">
        <v>1856520</v>
      </c>
      <c r="R457">
        <v>1269289.03</v>
      </c>
      <c r="S457">
        <v>587230.97</v>
      </c>
      <c r="T457" t="s">
        <v>31</v>
      </c>
      <c r="U457" t="str">
        <f t="shared" si="21"/>
        <v>2024-07</v>
      </c>
      <c r="V457">
        <f t="shared" si="22"/>
        <v>5</v>
      </c>
      <c r="W457" s="2">
        <f t="shared" si="23"/>
        <v>0.31630737616616034</v>
      </c>
    </row>
    <row r="458" spans="1:23">
      <c r="A458" t="s">
        <v>1077</v>
      </c>
      <c r="B458" s="1">
        <v>44936</v>
      </c>
      <c r="C458" s="1">
        <v>44941</v>
      </c>
      <c r="D458" t="s">
        <v>763</v>
      </c>
      <c r="E458" t="s">
        <v>1078</v>
      </c>
      <c r="F458" t="s">
        <v>54</v>
      </c>
      <c r="G458" t="s">
        <v>87</v>
      </c>
      <c r="H458" t="s">
        <v>88</v>
      </c>
      <c r="I458" t="s">
        <v>46</v>
      </c>
      <c r="J458" t="s">
        <v>47</v>
      </c>
      <c r="K458" t="s">
        <v>142</v>
      </c>
      <c r="L458" t="s">
        <v>143</v>
      </c>
      <c r="M458" t="s">
        <v>144</v>
      </c>
      <c r="N458">
        <v>5</v>
      </c>
      <c r="O458">
        <v>6814300</v>
      </c>
      <c r="P458">
        <v>0.05</v>
      </c>
      <c r="Q458">
        <v>32367925</v>
      </c>
      <c r="R458">
        <v>27539259.710000001</v>
      </c>
      <c r="S458">
        <v>4828665.29</v>
      </c>
      <c r="T458" t="s">
        <v>60</v>
      </c>
      <c r="U458" t="str">
        <f t="shared" si="21"/>
        <v>2023-01</v>
      </c>
      <c r="V458">
        <f t="shared" si="22"/>
        <v>5</v>
      </c>
      <c r="W458" s="2">
        <f t="shared" si="23"/>
        <v>0.14918056347448902</v>
      </c>
    </row>
    <row r="459" spans="1:23">
      <c r="A459" t="s">
        <v>1079</v>
      </c>
      <c r="B459" s="1">
        <v>45323</v>
      </c>
      <c r="C459" s="1">
        <v>45324</v>
      </c>
      <c r="D459" t="s">
        <v>1080</v>
      </c>
      <c r="E459" t="s">
        <v>1081</v>
      </c>
      <c r="F459" t="s">
        <v>23</v>
      </c>
      <c r="G459" t="s">
        <v>64</v>
      </c>
      <c r="H459" t="s">
        <v>65</v>
      </c>
      <c r="I459" t="s">
        <v>57</v>
      </c>
      <c r="J459" t="s">
        <v>27</v>
      </c>
      <c r="K459" t="s">
        <v>116</v>
      </c>
      <c r="L459" t="s">
        <v>207</v>
      </c>
      <c r="M459" t="s">
        <v>208</v>
      </c>
      <c r="N459">
        <v>1</v>
      </c>
      <c r="O459">
        <v>112700</v>
      </c>
      <c r="P459">
        <v>0</v>
      </c>
      <c r="Q459">
        <v>112700</v>
      </c>
      <c r="R459">
        <v>63126.36</v>
      </c>
      <c r="S459">
        <v>49573.64</v>
      </c>
      <c r="T459" t="s">
        <v>31</v>
      </c>
      <c r="U459" t="str">
        <f t="shared" si="21"/>
        <v>2024-02</v>
      </c>
      <c r="V459">
        <f t="shared" si="22"/>
        <v>1</v>
      </c>
      <c r="W459" s="2">
        <f t="shared" si="23"/>
        <v>0.4398725820763088</v>
      </c>
    </row>
    <row r="460" spans="1:23">
      <c r="A460" t="s">
        <v>1082</v>
      </c>
      <c r="B460" s="1">
        <v>45034</v>
      </c>
      <c r="C460" s="1">
        <v>45039</v>
      </c>
      <c r="D460" t="s">
        <v>269</v>
      </c>
      <c r="E460" t="s">
        <v>801</v>
      </c>
      <c r="F460" t="s">
        <v>23</v>
      </c>
      <c r="G460" t="s">
        <v>64</v>
      </c>
      <c r="H460" t="s">
        <v>65</v>
      </c>
      <c r="I460" t="s">
        <v>57</v>
      </c>
      <c r="J460" t="s">
        <v>47</v>
      </c>
      <c r="K460" t="s">
        <v>142</v>
      </c>
      <c r="L460" t="s">
        <v>158</v>
      </c>
      <c r="M460" t="s">
        <v>159</v>
      </c>
      <c r="N460">
        <v>6</v>
      </c>
      <c r="O460">
        <v>8681400</v>
      </c>
      <c r="P460">
        <v>0.1</v>
      </c>
      <c r="Q460">
        <v>46879560</v>
      </c>
      <c r="R460">
        <v>40319213.159999996</v>
      </c>
      <c r="S460">
        <v>6560346.8399999999</v>
      </c>
      <c r="T460" t="s">
        <v>31</v>
      </c>
      <c r="U460" t="str">
        <f t="shared" si="21"/>
        <v>2023-04</v>
      </c>
      <c r="V460">
        <f t="shared" si="22"/>
        <v>5</v>
      </c>
      <c r="W460" s="2">
        <f t="shared" si="23"/>
        <v>0.13994045251277956</v>
      </c>
    </row>
    <row r="461" spans="1:23">
      <c r="A461" t="s">
        <v>1083</v>
      </c>
      <c r="B461" s="1">
        <v>45594</v>
      </c>
      <c r="C461" s="1">
        <v>45596</v>
      </c>
      <c r="D461" t="s">
        <v>287</v>
      </c>
      <c r="E461" t="s">
        <v>1084</v>
      </c>
      <c r="F461" t="s">
        <v>23</v>
      </c>
      <c r="G461" t="s">
        <v>24</v>
      </c>
      <c r="H461" t="s">
        <v>25</v>
      </c>
      <c r="I461" t="s">
        <v>26</v>
      </c>
      <c r="J461" t="s">
        <v>27</v>
      </c>
      <c r="K461" t="s">
        <v>179</v>
      </c>
      <c r="L461" t="s">
        <v>180</v>
      </c>
      <c r="M461" t="s">
        <v>181</v>
      </c>
      <c r="N461">
        <v>5</v>
      </c>
      <c r="O461">
        <v>55000</v>
      </c>
      <c r="P461">
        <v>0</v>
      </c>
      <c r="Q461">
        <v>275000</v>
      </c>
      <c r="R461">
        <v>147386.59</v>
      </c>
      <c r="S461">
        <v>127613.41</v>
      </c>
      <c r="T461" t="s">
        <v>40</v>
      </c>
      <c r="U461" t="str">
        <f t="shared" si="21"/>
        <v>2024-10</v>
      </c>
      <c r="V461">
        <f t="shared" si="22"/>
        <v>2</v>
      </c>
      <c r="W461" s="2">
        <f t="shared" si="23"/>
        <v>0.46404876363636366</v>
      </c>
    </row>
    <row r="462" spans="1:23">
      <c r="A462" t="s">
        <v>1085</v>
      </c>
      <c r="B462" s="1">
        <v>45819</v>
      </c>
      <c r="C462" s="1">
        <v>45821</v>
      </c>
      <c r="D462" t="s">
        <v>410</v>
      </c>
      <c r="E462" t="s">
        <v>1086</v>
      </c>
      <c r="F462" t="s">
        <v>23</v>
      </c>
      <c r="G462" t="s">
        <v>80</v>
      </c>
      <c r="H462" t="s">
        <v>45</v>
      </c>
      <c r="I462" t="s">
        <v>46</v>
      </c>
      <c r="J462" t="s">
        <v>47</v>
      </c>
      <c r="K462" t="s">
        <v>128</v>
      </c>
      <c r="L462" t="s">
        <v>129</v>
      </c>
      <c r="M462" t="s">
        <v>130</v>
      </c>
      <c r="N462">
        <v>2</v>
      </c>
      <c r="O462">
        <v>1366900</v>
      </c>
      <c r="P462">
        <v>0.05</v>
      </c>
      <c r="Q462">
        <v>2597110</v>
      </c>
      <c r="R462">
        <v>1938929.63</v>
      </c>
      <c r="S462">
        <v>658180.37</v>
      </c>
      <c r="T462" t="s">
        <v>73</v>
      </c>
      <c r="U462" t="str">
        <f t="shared" si="21"/>
        <v>2025-06</v>
      </c>
      <c r="V462">
        <f t="shared" si="22"/>
        <v>2</v>
      </c>
      <c r="W462" s="2">
        <f t="shared" si="23"/>
        <v>0.25342799111319891</v>
      </c>
    </row>
    <row r="463" spans="1:23">
      <c r="A463" t="s">
        <v>1087</v>
      </c>
      <c r="B463" s="1">
        <v>45049</v>
      </c>
      <c r="C463" s="1">
        <v>45052</v>
      </c>
      <c r="D463" t="s">
        <v>1008</v>
      </c>
      <c r="E463" t="s">
        <v>1088</v>
      </c>
      <c r="F463" t="s">
        <v>23</v>
      </c>
      <c r="G463" t="s">
        <v>64</v>
      </c>
      <c r="H463" t="s">
        <v>65</v>
      </c>
      <c r="I463" t="s">
        <v>57</v>
      </c>
      <c r="J463" t="s">
        <v>47</v>
      </c>
      <c r="K463" t="s">
        <v>128</v>
      </c>
      <c r="L463" t="s">
        <v>129</v>
      </c>
      <c r="M463" t="s">
        <v>130</v>
      </c>
      <c r="N463">
        <v>1</v>
      </c>
      <c r="O463">
        <v>1399200</v>
      </c>
      <c r="P463">
        <v>0</v>
      </c>
      <c r="Q463">
        <v>1399200</v>
      </c>
      <c r="R463">
        <v>1061113.1499999999</v>
      </c>
      <c r="S463">
        <v>338086.85</v>
      </c>
      <c r="T463" t="s">
        <v>60</v>
      </c>
      <c r="U463" t="str">
        <f t="shared" si="21"/>
        <v>2023-05</v>
      </c>
      <c r="V463">
        <f t="shared" si="22"/>
        <v>3</v>
      </c>
      <c r="W463" s="2">
        <f t="shared" si="23"/>
        <v>0.24162868067467122</v>
      </c>
    </row>
    <row r="464" spans="1:23">
      <c r="A464" t="s">
        <v>1089</v>
      </c>
      <c r="B464" s="1">
        <v>45397</v>
      </c>
      <c r="C464" s="1">
        <v>45398</v>
      </c>
      <c r="D464" t="s">
        <v>908</v>
      </c>
      <c r="E464" t="s">
        <v>658</v>
      </c>
      <c r="F464" t="s">
        <v>54</v>
      </c>
      <c r="G464" t="s">
        <v>64</v>
      </c>
      <c r="H464" t="s">
        <v>65</v>
      </c>
      <c r="I464" t="s">
        <v>57</v>
      </c>
      <c r="J464" t="s">
        <v>36</v>
      </c>
      <c r="K464" t="s">
        <v>37</v>
      </c>
      <c r="L464" t="s">
        <v>38</v>
      </c>
      <c r="M464" t="s">
        <v>39</v>
      </c>
      <c r="N464">
        <v>3</v>
      </c>
      <c r="O464">
        <v>1062500</v>
      </c>
      <c r="P464">
        <v>0</v>
      </c>
      <c r="Q464">
        <v>3187500</v>
      </c>
      <c r="R464">
        <v>2264825.75</v>
      </c>
      <c r="S464">
        <v>922674.25</v>
      </c>
      <c r="T464" t="s">
        <v>73</v>
      </c>
      <c r="U464" t="str">
        <f t="shared" si="21"/>
        <v>2024-04</v>
      </c>
      <c r="V464">
        <f t="shared" si="22"/>
        <v>1</v>
      </c>
      <c r="W464" s="2">
        <f t="shared" si="23"/>
        <v>0.28946643137254902</v>
      </c>
    </row>
    <row r="465" spans="1:23">
      <c r="A465" t="s">
        <v>1090</v>
      </c>
      <c r="B465" s="1">
        <v>45816</v>
      </c>
      <c r="C465" s="1">
        <v>45821</v>
      </c>
      <c r="D465" t="s">
        <v>898</v>
      </c>
      <c r="E465" t="s">
        <v>535</v>
      </c>
      <c r="F465" t="s">
        <v>54</v>
      </c>
      <c r="G465" t="s">
        <v>55</v>
      </c>
      <c r="H465" t="s">
        <v>56</v>
      </c>
      <c r="I465" t="s">
        <v>57</v>
      </c>
      <c r="J465" t="s">
        <v>47</v>
      </c>
      <c r="K465" t="s">
        <v>173</v>
      </c>
      <c r="L465" t="s">
        <v>203</v>
      </c>
      <c r="M465" t="s">
        <v>204</v>
      </c>
      <c r="N465">
        <v>10</v>
      </c>
      <c r="O465">
        <v>2908200</v>
      </c>
      <c r="P465">
        <v>0.05</v>
      </c>
      <c r="Q465">
        <v>27627900</v>
      </c>
      <c r="R465">
        <v>23205641.969999999</v>
      </c>
      <c r="S465">
        <v>4422258.03</v>
      </c>
      <c r="T465" t="s">
        <v>40</v>
      </c>
      <c r="U465" t="str">
        <f t="shared" si="21"/>
        <v>2025-06</v>
      </c>
      <c r="V465">
        <f t="shared" si="22"/>
        <v>5</v>
      </c>
      <c r="W465" s="2">
        <f t="shared" si="23"/>
        <v>0.16006493544569078</v>
      </c>
    </row>
    <row r="466" spans="1:23">
      <c r="A466" t="s">
        <v>1091</v>
      </c>
      <c r="B466" s="1">
        <v>45734</v>
      </c>
      <c r="C466" s="1">
        <v>45738</v>
      </c>
      <c r="D466" t="s">
        <v>756</v>
      </c>
      <c r="E466" t="s">
        <v>1092</v>
      </c>
      <c r="F466" t="s">
        <v>23</v>
      </c>
      <c r="G466" t="s">
        <v>64</v>
      </c>
      <c r="H466" t="s">
        <v>65</v>
      </c>
      <c r="I466" t="s">
        <v>57</v>
      </c>
      <c r="J466" t="s">
        <v>27</v>
      </c>
      <c r="K466" t="s">
        <v>100</v>
      </c>
      <c r="L466" t="s">
        <v>105</v>
      </c>
      <c r="M466" t="s">
        <v>106</v>
      </c>
      <c r="N466">
        <v>3</v>
      </c>
      <c r="O466">
        <v>68600</v>
      </c>
      <c r="P466">
        <v>0.15</v>
      </c>
      <c r="Q466">
        <v>174930</v>
      </c>
      <c r="R466">
        <v>128136.23</v>
      </c>
      <c r="S466">
        <v>46793.77</v>
      </c>
      <c r="T466" t="s">
        <v>31</v>
      </c>
      <c r="U466" t="str">
        <f t="shared" si="21"/>
        <v>2025-03</v>
      </c>
      <c r="V466">
        <f t="shared" si="22"/>
        <v>4</v>
      </c>
      <c r="W466" s="2">
        <f t="shared" si="23"/>
        <v>0.26749997141713827</v>
      </c>
    </row>
    <row r="467" spans="1:23">
      <c r="A467" t="s">
        <v>1093</v>
      </c>
      <c r="B467" s="1">
        <v>45416</v>
      </c>
      <c r="C467" s="1">
        <v>45422</v>
      </c>
      <c r="D467" t="s">
        <v>1080</v>
      </c>
      <c r="E467" t="s">
        <v>121</v>
      </c>
      <c r="F467" t="s">
        <v>35</v>
      </c>
      <c r="G467" t="s">
        <v>64</v>
      </c>
      <c r="H467" t="s">
        <v>65</v>
      </c>
      <c r="I467" t="s">
        <v>57</v>
      </c>
      <c r="J467" t="s">
        <v>27</v>
      </c>
      <c r="K467" t="s">
        <v>100</v>
      </c>
      <c r="L467" t="s">
        <v>101</v>
      </c>
      <c r="M467" t="s">
        <v>102</v>
      </c>
      <c r="N467">
        <v>3</v>
      </c>
      <c r="O467">
        <v>63100</v>
      </c>
      <c r="P467">
        <v>0.15</v>
      </c>
      <c r="Q467">
        <v>160905</v>
      </c>
      <c r="R467">
        <v>99239.69</v>
      </c>
      <c r="S467">
        <v>61665.31</v>
      </c>
      <c r="T467" t="s">
        <v>73</v>
      </c>
      <c r="U467" t="str">
        <f t="shared" si="21"/>
        <v>2024-05</v>
      </c>
      <c r="V467">
        <f t="shared" si="22"/>
        <v>6</v>
      </c>
      <c r="W467" s="2">
        <f t="shared" si="23"/>
        <v>0.38324048351511758</v>
      </c>
    </row>
    <row r="468" spans="1:23">
      <c r="A468" t="s">
        <v>1094</v>
      </c>
      <c r="B468" s="1">
        <v>45210</v>
      </c>
      <c r="C468" s="1">
        <v>45217</v>
      </c>
      <c r="D468" t="s">
        <v>69</v>
      </c>
      <c r="E468" t="s">
        <v>448</v>
      </c>
      <c r="F468" t="s">
        <v>35</v>
      </c>
      <c r="G468" t="s">
        <v>156</v>
      </c>
      <c r="H468" t="s">
        <v>157</v>
      </c>
      <c r="I468" t="s">
        <v>57</v>
      </c>
      <c r="J468" t="s">
        <v>27</v>
      </c>
      <c r="K468" t="s">
        <v>28</v>
      </c>
      <c r="L468" t="s">
        <v>71</v>
      </c>
      <c r="M468" t="s">
        <v>72</v>
      </c>
      <c r="N468">
        <v>5</v>
      </c>
      <c r="O468">
        <v>41200</v>
      </c>
      <c r="P468">
        <v>0.2</v>
      </c>
      <c r="Q468">
        <v>164800</v>
      </c>
      <c r="R468">
        <v>106399.92</v>
      </c>
      <c r="S468">
        <v>58400.08</v>
      </c>
      <c r="T468" t="s">
        <v>31</v>
      </c>
      <c r="U468" t="str">
        <f t="shared" si="21"/>
        <v>2023-10</v>
      </c>
      <c r="V468">
        <f t="shared" si="22"/>
        <v>7</v>
      </c>
      <c r="W468" s="2">
        <f t="shared" si="23"/>
        <v>0.35436941747572814</v>
      </c>
    </row>
    <row r="469" spans="1:23">
      <c r="A469" t="s">
        <v>1095</v>
      </c>
      <c r="B469" s="1">
        <v>45479</v>
      </c>
      <c r="C469" s="1">
        <v>45485</v>
      </c>
      <c r="D469" t="s">
        <v>149</v>
      </c>
      <c r="E469" t="s">
        <v>1096</v>
      </c>
      <c r="F469" t="s">
        <v>35</v>
      </c>
      <c r="G469" t="s">
        <v>44</v>
      </c>
      <c r="H469" t="s">
        <v>45</v>
      </c>
      <c r="I469" t="s">
        <v>46</v>
      </c>
      <c r="J469" t="s">
        <v>27</v>
      </c>
      <c r="K469" t="s">
        <v>28</v>
      </c>
      <c r="L469" t="s">
        <v>29</v>
      </c>
      <c r="M469" t="s">
        <v>30</v>
      </c>
      <c r="N469">
        <v>4</v>
      </c>
      <c r="O469">
        <v>62000</v>
      </c>
      <c r="P469">
        <v>0.25</v>
      </c>
      <c r="Q469">
        <v>186000</v>
      </c>
      <c r="R469">
        <v>138969.44</v>
      </c>
      <c r="S469">
        <v>47030.559999999998</v>
      </c>
      <c r="T469" t="s">
        <v>60</v>
      </c>
      <c r="U469" t="str">
        <f t="shared" si="21"/>
        <v>2024-07</v>
      </c>
      <c r="V469">
        <f t="shared" si="22"/>
        <v>6</v>
      </c>
      <c r="W469" s="2">
        <f t="shared" si="23"/>
        <v>0.25285247311827957</v>
      </c>
    </row>
    <row r="470" spans="1:23">
      <c r="A470" t="s">
        <v>1097</v>
      </c>
      <c r="B470" s="1">
        <v>45675</v>
      </c>
      <c r="C470" s="1">
        <v>45679</v>
      </c>
      <c r="D470" t="s">
        <v>228</v>
      </c>
      <c r="E470" t="s">
        <v>866</v>
      </c>
      <c r="F470" t="s">
        <v>23</v>
      </c>
      <c r="G470" t="s">
        <v>156</v>
      </c>
      <c r="H470" t="s">
        <v>157</v>
      </c>
      <c r="I470" t="s">
        <v>57</v>
      </c>
      <c r="J470" t="s">
        <v>36</v>
      </c>
      <c r="K470" t="s">
        <v>89</v>
      </c>
      <c r="L470" t="s">
        <v>151</v>
      </c>
      <c r="M470" t="s">
        <v>152</v>
      </c>
      <c r="N470">
        <v>3</v>
      </c>
      <c r="O470">
        <v>1337700</v>
      </c>
      <c r="P470">
        <v>0</v>
      </c>
      <c r="Q470">
        <v>4013100</v>
      </c>
      <c r="R470">
        <v>2671409.81</v>
      </c>
      <c r="S470">
        <v>1341690.19</v>
      </c>
      <c r="T470" t="s">
        <v>31</v>
      </c>
      <c r="U470" t="str">
        <f t="shared" si="21"/>
        <v>2025-01</v>
      </c>
      <c r="V470">
        <f t="shared" si="22"/>
        <v>4</v>
      </c>
      <c r="W470" s="2">
        <f t="shared" si="23"/>
        <v>0.33432762452966536</v>
      </c>
    </row>
    <row r="471" spans="1:23">
      <c r="A471" t="s">
        <v>1098</v>
      </c>
      <c r="B471" s="1">
        <v>45356</v>
      </c>
      <c r="C471" s="1">
        <v>45363</v>
      </c>
      <c r="D471" t="s">
        <v>936</v>
      </c>
      <c r="E471" t="s">
        <v>248</v>
      </c>
      <c r="F471" t="s">
        <v>23</v>
      </c>
      <c r="G471" t="s">
        <v>156</v>
      </c>
      <c r="H471" t="s">
        <v>157</v>
      </c>
      <c r="I471" t="s">
        <v>57</v>
      </c>
      <c r="J471" t="s">
        <v>27</v>
      </c>
      <c r="K471" t="s">
        <v>28</v>
      </c>
      <c r="L471" t="s">
        <v>29</v>
      </c>
      <c r="M471" t="s">
        <v>30</v>
      </c>
      <c r="N471">
        <v>2</v>
      </c>
      <c r="O471">
        <v>67500</v>
      </c>
      <c r="P471">
        <v>0</v>
      </c>
      <c r="Q471">
        <v>135000</v>
      </c>
      <c r="R471">
        <v>72788.160000000003</v>
      </c>
      <c r="S471">
        <v>62211.839999999997</v>
      </c>
      <c r="T471" t="s">
        <v>60</v>
      </c>
      <c r="U471" t="str">
        <f t="shared" si="21"/>
        <v>2024-03</v>
      </c>
      <c r="V471">
        <f t="shared" si="22"/>
        <v>7</v>
      </c>
      <c r="W471" s="2">
        <f t="shared" si="23"/>
        <v>0.46082844444444443</v>
      </c>
    </row>
    <row r="472" spans="1:23">
      <c r="A472" t="s">
        <v>1099</v>
      </c>
      <c r="B472" s="1">
        <v>46005</v>
      </c>
      <c r="C472" s="1">
        <v>46012</v>
      </c>
      <c r="D472" t="s">
        <v>816</v>
      </c>
      <c r="E472" t="s">
        <v>1100</v>
      </c>
      <c r="F472" t="s">
        <v>35</v>
      </c>
      <c r="G472" t="s">
        <v>64</v>
      </c>
      <c r="H472" t="s">
        <v>65</v>
      </c>
      <c r="I472" t="s">
        <v>57</v>
      </c>
      <c r="J472" t="s">
        <v>47</v>
      </c>
      <c r="K472" t="s">
        <v>48</v>
      </c>
      <c r="L472" t="s">
        <v>66</v>
      </c>
      <c r="M472" t="s">
        <v>67</v>
      </c>
      <c r="N472">
        <v>1</v>
      </c>
      <c r="O472">
        <v>136800</v>
      </c>
      <c r="P472">
        <v>0</v>
      </c>
      <c r="Q472">
        <v>136800</v>
      </c>
      <c r="R472">
        <v>79406.58</v>
      </c>
      <c r="S472">
        <v>57393.42</v>
      </c>
      <c r="T472" t="s">
        <v>31</v>
      </c>
      <c r="U472" t="str">
        <f t="shared" si="21"/>
        <v>2025-12</v>
      </c>
      <c r="V472">
        <f t="shared" si="22"/>
        <v>7</v>
      </c>
      <c r="W472" s="2">
        <f t="shared" si="23"/>
        <v>0.41954254385964912</v>
      </c>
    </row>
    <row r="473" spans="1:23">
      <c r="A473" t="s">
        <v>1101</v>
      </c>
      <c r="B473" s="1">
        <v>45150</v>
      </c>
      <c r="C473" s="1">
        <v>45152</v>
      </c>
      <c r="D473" t="s">
        <v>756</v>
      </c>
      <c r="E473" t="s">
        <v>1102</v>
      </c>
      <c r="F473" t="s">
        <v>23</v>
      </c>
      <c r="G473" t="s">
        <v>64</v>
      </c>
      <c r="H473" t="s">
        <v>65</v>
      </c>
      <c r="I473" t="s">
        <v>57</v>
      </c>
      <c r="J473" t="s">
        <v>47</v>
      </c>
      <c r="K473" t="s">
        <v>173</v>
      </c>
      <c r="L473" t="s">
        <v>203</v>
      </c>
      <c r="M473" t="s">
        <v>204</v>
      </c>
      <c r="N473">
        <v>2</v>
      </c>
      <c r="O473">
        <v>3321600</v>
      </c>
      <c r="P473">
        <v>0</v>
      </c>
      <c r="Q473">
        <v>6643200</v>
      </c>
      <c r="R473">
        <v>5432768.9100000001</v>
      </c>
      <c r="S473">
        <v>1210431.0900000001</v>
      </c>
      <c r="T473" t="s">
        <v>73</v>
      </c>
      <c r="U473" t="str">
        <f t="shared" si="21"/>
        <v>2023-08</v>
      </c>
      <c r="V473">
        <f t="shared" si="22"/>
        <v>2</v>
      </c>
      <c r="W473" s="2">
        <f t="shared" si="23"/>
        <v>0.18220602872109828</v>
      </c>
    </row>
    <row r="474" spans="1:23">
      <c r="A474" t="s">
        <v>1103</v>
      </c>
      <c r="B474" s="1">
        <v>45787</v>
      </c>
      <c r="C474" s="1">
        <v>45791</v>
      </c>
      <c r="D474" t="s">
        <v>1104</v>
      </c>
      <c r="E474" t="s">
        <v>467</v>
      </c>
      <c r="F474" t="s">
        <v>23</v>
      </c>
      <c r="G474" t="s">
        <v>95</v>
      </c>
      <c r="H474" t="s">
        <v>96</v>
      </c>
      <c r="I474" t="s">
        <v>26</v>
      </c>
      <c r="J474" t="s">
        <v>27</v>
      </c>
      <c r="K474" t="s">
        <v>100</v>
      </c>
      <c r="L474" t="s">
        <v>101</v>
      </c>
      <c r="M474" t="s">
        <v>102</v>
      </c>
      <c r="N474">
        <v>5</v>
      </c>
      <c r="O474">
        <v>55200</v>
      </c>
      <c r="P474">
        <v>0.25</v>
      </c>
      <c r="Q474">
        <v>207000</v>
      </c>
      <c r="R474">
        <v>156931.96</v>
      </c>
      <c r="S474">
        <v>50068.04</v>
      </c>
      <c r="T474" t="s">
        <v>31</v>
      </c>
      <c r="U474" t="str">
        <f t="shared" si="21"/>
        <v>2025-05</v>
      </c>
      <c r="V474">
        <f t="shared" si="22"/>
        <v>4</v>
      </c>
      <c r="W474" s="2">
        <f t="shared" si="23"/>
        <v>0.24187458937198067</v>
      </c>
    </row>
    <row r="475" spans="1:23">
      <c r="A475" t="s">
        <v>1105</v>
      </c>
      <c r="B475" s="1">
        <v>45595</v>
      </c>
      <c r="C475" s="1">
        <v>45599</v>
      </c>
      <c r="D475" t="s">
        <v>221</v>
      </c>
      <c r="E475" t="s">
        <v>1106</v>
      </c>
      <c r="F475" t="s">
        <v>54</v>
      </c>
      <c r="G475" t="s">
        <v>87</v>
      </c>
      <c r="H475" t="s">
        <v>88</v>
      </c>
      <c r="I475" t="s">
        <v>46</v>
      </c>
      <c r="J475" t="s">
        <v>36</v>
      </c>
      <c r="K475" t="s">
        <v>37</v>
      </c>
      <c r="L475" t="s">
        <v>58</v>
      </c>
      <c r="M475" t="s">
        <v>59</v>
      </c>
      <c r="N475">
        <v>2</v>
      </c>
      <c r="O475">
        <v>891600</v>
      </c>
      <c r="P475">
        <v>0.2</v>
      </c>
      <c r="Q475">
        <v>1426560</v>
      </c>
      <c r="R475">
        <v>1147308.79</v>
      </c>
      <c r="S475">
        <v>279251.21000000002</v>
      </c>
      <c r="T475" t="s">
        <v>40</v>
      </c>
      <c r="U475" t="str">
        <f t="shared" si="21"/>
        <v>2024-10</v>
      </c>
      <c r="V475">
        <f t="shared" si="22"/>
        <v>4</v>
      </c>
      <c r="W475" s="2">
        <f t="shared" si="23"/>
        <v>0.19575146506280844</v>
      </c>
    </row>
    <row r="476" spans="1:23">
      <c r="A476" t="s">
        <v>1107</v>
      </c>
      <c r="B476" s="1">
        <v>45688</v>
      </c>
      <c r="C476" s="1">
        <v>45691</v>
      </c>
      <c r="D476" t="s">
        <v>450</v>
      </c>
      <c r="E476" t="s">
        <v>923</v>
      </c>
      <c r="F476" t="s">
        <v>23</v>
      </c>
      <c r="G476" t="s">
        <v>80</v>
      </c>
      <c r="H476" t="s">
        <v>45</v>
      </c>
      <c r="I476" t="s">
        <v>46</v>
      </c>
      <c r="J476" t="s">
        <v>27</v>
      </c>
      <c r="K476" t="s">
        <v>100</v>
      </c>
      <c r="L476" t="s">
        <v>101</v>
      </c>
      <c r="M476" t="s">
        <v>102</v>
      </c>
      <c r="N476">
        <v>8</v>
      </c>
      <c r="O476">
        <v>60100</v>
      </c>
      <c r="P476">
        <v>0</v>
      </c>
      <c r="Q476">
        <v>480800</v>
      </c>
      <c r="R476">
        <v>269620.69</v>
      </c>
      <c r="S476">
        <v>211179.31</v>
      </c>
      <c r="T476" t="s">
        <v>40</v>
      </c>
      <c r="U476" t="str">
        <f t="shared" si="21"/>
        <v>2025-01</v>
      </c>
      <c r="V476">
        <f t="shared" si="22"/>
        <v>3</v>
      </c>
      <c r="W476" s="2">
        <f t="shared" si="23"/>
        <v>0.4392248544093178</v>
      </c>
    </row>
    <row r="477" spans="1:23">
      <c r="A477" t="s">
        <v>1108</v>
      </c>
      <c r="B477" s="1">
        <v>45241</v>
      </c>
      <c r="C477" s="1">
        <v>45243</v>
      </c>
      <c r="D477" t="s">
        <v>686</v>
      </c>
      <c r="E477" t="s">
        <v>728</v>
      </c>
      <c r="F477" t="s">
        <v>35</v>
      </c>
      <c r="G477" t="s">
        <v>156</v>
      </c>
      <c r="H477" t="s">
        <v>157</v>
      </c>
      <c r="I477" t="s">
        <v>57</v>
      </c>
      <c r="J477" t="s">
        <v>47</v>
      </c>
      <c r="K477" t="s">
        <v>142</v>
      </c>
      <c r="L477" t="s">
        <v>158</v>
      </c>
      <c r="M477" t="s">
        <v>159</v>
      </c>
      <c r="N477">
        <v>1</v>
      </c>
      <c r="O477">
        <v>7712800</v>
      </c>
      <c r="P477">
        <v>0.1</v>
      </c>
      <c r="Q477">
        <v>6941520</v>
      </c>
      <c r="R477">
        <v>5742314.3700000001</v>
      </c>
      <c r="S477">
        <v>1199205.6299999999</v>
      </c>
      <c r="T477" t="s">
        <v>40</v>
      </c>
      <c r="U477" t="str">
        <f t="shared" si="21"/>
        <v>2023-11</v>
      </c>
      <c r="V477">
        <f t="shared" si="22"/>
        <v>2</v>
      </c>
      <c r="W477" s="2">
        <f t="shared" si="23"/>
        <v>0.17275836272170936</v>
      </c>
    </row>
    <row r="478" spans="1:23">
      <c r="A478" t="s">
        <v>1109</v>
      </c>
      <c r="B478" s="1">
        <v>45690</v>
      </c>
      <c r="C478" s="1">
        <v>45694</v>
      </c>
      <c r="D478" t="s">
        <v>533</v>
      </c>
      <c r="E478" t="s">
        <v>1086</v>
      </c>
      <c r="F478" t="s">
        <v>23</v>
      </c>
      <c r="G478" t="s">
        <v>87</v>
      </c>
      <c r="H478" t="s">
        <v>88</v>
      </c>
      <c r="I478" t="s">
        <v>46</v>
      </c>
      <c r="J478" t="s">
        <v>36</v>
      </c>
      <c r="K478" t="s">
        <v>81</v>
      </c>
      <c r="L478" t="s">
        <v>82</v>
      </c>
      <c r="M478" t="s">
        <v>83</v>
      </c>
      <c r="N478">
        <v>2</v>
      </c>
      <c r="O478">
        <v>656400</v>
      </c>
      <c r="P478">
        <v>0</v>
      </c>
      <c r="Q478">
        <v>1312800</v>
      </c>
      <c r="R478">
        <v>848211.88</v>
      </c>
      <c r="S478">
        <v>464588.12</v>
      </c>
      <c r="T478" t="s">
        <v>31</v>
      </c>
      <c r="U478" t="str">
        <f t="shared" si="21"/>
        <v>2025-02</v>
      </c>
      <c r="V478">
        <f t="shared" si="22"/>
        <v>4</v>
      </c>
      <c r="W478" s="2">
        <f t="shared" si="23"/>
        <v>0.35389101157830588</v>
      </c>
    </row>
    <row r="479" spans="1:23">
      <c r="A479" t="s">
        <v>1110</v>
      </c>
      <c r="B479" s="1">
        <v>45966</v>
      </c>
      <c r="C479" s="1">
        <v>45969</v>
      </c>
      <c r="D479" t="s">
        <v>154</v>
      </c>
      <c r="E479" t="s">
        <v>430</v>
      </c>
      <c r="F479" t="s">
        <v>54</v>
      </c>
      <c r="G479" t="s">
        <v>64</v>
      </c>
      <c r="H479" t="s">
        <v>65</v>
      </c>
      <c r="I479" t="s">
        <v>57</v>
      </c>
      <c r="J479" t="s">
        <v>27</v>
      </c>
      <c r="K479" t="s">
        <v>179</v>
      </c>
      <c r="L479" t="s">
        <v>244</v>
      </c>
      <c r="M479" t="s">
        <v>245</v>
      </c>
      <c r="N479">
        <v>4</v>
      </c>
      <c r="O479">
        <v>40300</v>
      </c>
      <c r="P479">
        <v>0.25</v>
      </c>
      <c r="Q479">
        <v>120900</v>
      </c>
      <c r="R479">
        <v>80118.740000000005</v>
      </c>
      <c r="S479">
        <v>40781.26</v>
      </c>
      <c r="T479" t="s">
        <v>73</v>
      </c>
      <c r="U479" t="str">
        <f t="shared" si="21"/>
        <v>2025-11</v>
      </c>
      <c r="V479">
        <f t="shared" si="22"/>
        <v>3</v>
      </c>
      <c r="W479" s="2">
        <f t="shared" si="23"/>
        <v>0.33731397849462369</v>
      </c>
    </row>
    <row r="480" spans="1:23">
      <c r="A480" t="s">
        <v>1111</v>
      </c>
      <c r="B480" s="1">
        <v>45009</v>
      </c>
      <c r="C480" s="1">
        <v>45011</v>
      </c>
      <c r="D480" t="s">
        <v>784</v>
      </c>
      <c r="E480" t="s">
        <v>917</v>
      </c>
      <c r="F480" t="s">
        <v>23</v>
      </c>
      <c r="G480" t="s">
        <v>95</v>
      </c>
      <c r="H480" t="s">
        <v>96</v>
      </c>
      <c r="I480" t="s">
        <v>26</v>
      </c>
      <c r="J480" t="s">
        <v>27</v>
      </c>
      <c r="K480" t="s">
        <v>100</v>
      </c>
      <c r="L480" t="s">
        <v>105</v>
      </c>
      <c r="M480" t="s">
        <v>106</v>
      </c>
      <c r="N480">
        <v>2</v>
      </c>
      <c r="O480">
        <v>69900</v>
      </c>
      <c r="P480">
        <v>0</v>
      </c>
      <c r="Q480">
        <v>139800</v>
      </c>
      <c r="R480">
        <v>83789.83</v>
      </c>
      <c r="S480">
        <v>56010.17</v>
      </c>
      <c r="T480" t="s">
        <v>73</v>
      </c>
      <c r="U480" t="str">
        <f t="shared" si="21"/>
        <v>2023-03</v>
      </c>
      <c r="V480">
        <f t="shared" si="22"/>
        <v>2</v>
      </c>
      <c r="W480" s="2">
        <f t="shared" si="23"/>
        <v>0.40064499284692418</v>
      </c>
    </row>
    <row r="481" spans="1:23">
      <c r="A481" t="s">
        <v>1112</v>
      </c>
      <c r="B481" s="1">
        <v>45496</v>
      </c>
      <c r="C481" s="1">
        <v>45498</v>
      </c>
      <c r="D481" t="s">
        <v>958</v>
      </c>
      <c r="E481" t="s">
        <v>724</v>
      </c>
      <c r="F481" t="s">
        <v>54</v>
      </c>
      <c r="G481" t="s">
        <v>44</v>
      </c>
      <c r="H481" t="s">
        <v>45</v>
      </c>
      <c r="I481" t="s">
        <v>46</v>
      </c>
      <c r="J481" t="s">
        <v>47</v>
      </c>
      <c r="K481" t="s">
        <v>128</v>
      </c>
      <c r="L481" t="s">
        <v>129</v>
      </c>
      <c r="M481" t="s">
        <v>130</v>
      </c>
      <c r="N481">
        <v>1</v>
      </c>
      <c r="O481">
        <v>1406400</v>
      </c>
      <c r="P481">
        <v>0.1</v>
      </c>
      <c r="Q481">
        <v>1265760</v>
      </c>
      <c r="R481">
        <v>1086166.1599999999</v>
      </c>
      <c r="S481">
        <v>179593.84</v>
      </c>
      <c r="T481" t="s">
        <v>40</v>
      </c>
      <c r="U481" t="str">
        <f t="shared" si="21"/>
        <v>2024-07</v>
      </c>
      <c r="V481">
        <f t="shared" si="22"/>
        <v>2</v>
      </c>
      <c r="W481" s="2">
        <f t="shared" si="23"/>
        <v>0.14188617115408925</v>
      </c>
    </row>
    <row r="482" spans="1:23">
      <c r="A482" t="s">
        <v>1113</v>
      </c>
      <c r="B482" s="1">
        <v>45802</v>
      </c>
      <c r="C482" s="1">
        <v>45805</v>
      </c>
      <c r="D482" t="s">
        <v>399</v>
      </c>
      <c r="E482" t="s">
        <v>722</v>
      </c>
      <c r="F482" t="s">
        <v>23</v>
      </c>
      <c r="G482" t="s">
        <v>95</v>
      </c>
      <c r="H482" t="s">
        <v>96</v>
      </c>
      <c r="I482" t="s">
        <v>26</v>
      </c>
      <c r="J482" t="s">
        <v>36</v>
      </c>
      <c r="K482" t="s">
        <v>81</v>
      </c>
      <c r="L482" t="s">
        <v>215</v>
      </c>
      <c r="M482" t="s">
        <v>216</v>
      </c>
      <c r="N482">
        <v>10</v>
      </c>
      <c r="O482">
        <v>1911600</v>
      </c>
      <c r="P482">
        <v>0</v>
      </c>
      <c r="Q482">
        <v>19116000</v>
      </c>
      <c r="R482">
        <v>13179522.720000001</v>
      </c>
      <c r="S482">
        <v>5936477.2800000003</v>
      </c>
      <c r="T482" t="s">
        <v>60</v>
      </c>
      <c r="U482" t="str">
        <f t="shared" si="21"/>
        <v>2025-05</v>
      </c>
      <c r="V482">
        <f t="shared" si="22"/>
        <v>3</v>
      </c>
      <c r="W482" s="2">
        <f t="shared" si="23"/>
        <v>0.31055018204645324</v>
      </c>
    </row>
    <row r="483" spans="1:23">
      <c r="A483" t="s">
        <v>1114</v>
      </c>
      <c r="B483" s="1">
        <v>45833</v>
      </c>
      <c r="C483" s="1">
        <v>45836</v>
      </c>
      <c r="D483" t="s">
        <v>410</v>
      </c>
      <c r="E483" t="s">
        <v>155</v>
      </c>
      <c r="F483" t="s">
        <v>23</v>
      </c>
      <c r="G483" t="s">
        <v>169</v>
      </c>
      <c r="H483" t="s">
        <v>157</v>
      </c>
      <c r="I483" t="s">
        <v>57</v>
      </c>
      <c r="J483" t="s">
        <v>47</v>
      </c>
      <c r="K483" t="s">
        <v>48</v>
      </c>
      <c r="L483" t="s">
        <v>225</v>
      </c>
      <c r="M483" t="s">
        <v>226</v>
      </c>
      <c r="N483">
        <v>1</v>
      </c>
      <c r="O483">
        <v>222300</v>
      </c>
      <c r="P483">
        <v>0.3</v>
      </c>
      <c r="Q483">
        <v>155610</v>
      </c>
      <c r="R483">
        <v>135819.4</v>
      </c>
      <c r="S483">
        <v>19790.599999999999</v>
      </c>
      <c r="T483" t="s">
        <v>31</v>
      </c>
      <c r="U483" t="str">
        <f t="shared" si="21"/>
        <v>2025-06</v>
      </c>
      <c r="V483">
        <f t="shared" si="22"/>
        <v>3</v>
      </c>
      <c r="W483" s="2">
        <f t="shared" si="23"/>
        <v>0.12718077244393033</v>
      </c>
    </row>
    <row r="484" spans="1:23">
      <c r="A484" t="s">
        <v>1115</v>
      </c>
      <c r="B484" s="1">
        <v>45696</v>
      </c>
      <c r="C484" s="1">
        <v>45697</v>
      </c>
      <c r="D484" t="s">
        <v>964</v>
      </c>
      <c r="E484" t="s">
        <v>1116</v>
      </c>
      <c r="F484" t="s">
        <v>23</v>
      </c>
      <c r="G484" t="s">
        <v>169</v>
      </c>
      <c r="H484" t="s">
        <v>157</v>
      </c>
      <c r="I484" t="s">
        <v>57</v>
      </c>
      <c r="J484" t="s">
        <v>47</v>
      </c>
      <c r="K484" t="s">
        <v>48</v>
      </c>
      <c r="L484" t="s">
        <v>66</v>
      </c>
      <c r="M484" t="s">
        <v>67</v>
      </c>
      <c r="N484">
        <v>4</v>
      </c>
      <c r="O484">
        <v>133300</v>
      </c>
      <c r="P484">
        <v>0</v>
      </c>
      <c r="Q484">
        <v>533200</v>
      </c>
      <c r="R484">
        <v>301271.27</v>
      </c>
      <c r="S484">
        <v>231928.73</v>
      </c>
      <c r="T484" t="s">
        <v>40</v>
      </c>
      <c r="U484" t="str">
        <f t="shared" si="21"/>
        <v>2025-02</v>
      </c>
      <c r="V484">
        <f t="shared" si="22"/>
        <v>1</v>
      </c>
      <c r="W484" s="2">
        <f t="shared" si="23"/>
        <v>0.43497511252813204</v>
      </c>
    </row>
    <row r="485" spans="1:23">
      <c r="A485" t="s">
        <v>1117</v>
      </c>
      <c r="B485" s="1">
        <v>45931</v>
      </c>
      <c r="C485" s="1">
        <v>45932</v>
      </c>
      <c r="D485" t="s">
        <v>511</v>
      </c>
      <c r="E485" t="s">
        <v>342</v>
      </c>
      <c r="F485" t="s">
        <v>23</v>
      </c>
      <c r="G485" t="s">
        <v>55</v>
      </c>
      <c r="H485" t="s">
        <v>56</v>
      </c>
      <c r="I485" t="s">
        <v>57</v>
      </c>
      <c r="J485" t="s">
        <v>27</v>
      </c>
      <c r="K485" t="s">
        <v>179</v>
      </c>
      <c r="L485" t="s">
        <v>244</v>
      </c>
      <c r="M485" t="s">
        <v>245</v>
      </c>
      <c r="N485">
        <v>1</v>
      </c>
      <c r="O485">
        <v>40800</v>
      </c>
      <c r="P485">
        <v>0</v>
      </c>
      <c r="Q485">
        <v>40800</v>
      </c>
      <c r="R485">
        <v>20176.05</v>
      </c>
      <c r="S485">
        <v>20623.95</v>
      </c>
      <c r="T485" t="s">
        <v>40</v>
      </c>
      <c r="U485" t="str">
        <f t="shared" si="21"/>
        <v>2025-10</v>
      </c>
      <c r="V485">
        <f t="shared" si="22"/>
        <v>1</v>
      </c>
      <c r="W485" s="2">
        <f t="shared" si="23"/>
        <v>0.50548897058823528</v>
      </c>
    </row>
    <row r="486" spans="1:23">
      <c r="A486" t="s">
        <v>1118</v>
      </c>
      <c r="B486" s="1">
        <v>45516</v>
      </c>
      <c r="C486" s="1">
        <v>45520</v>
      </c>
      <c r="D486" t="s">
        <v>325</v>
      </c>
      <c r="E486" t="s">
        <v>372</v>
      </c>
      <c r="F486" t="s">
        <v>23</v>
      </c>
      <c r="G486" t="s">
        <v>140</v>
      </c>
      <c r="H486" t="s">
        <v>141</v>
      </c>
      <c r="I486" t="s">
        <v>46</v>
      </c>
      <c r="J486" t="s">
        <v>47</v>
      </c>
      <c r="K486" t="s">
        <v>173</v>
      </c>
      <c r="L486" t="s">
        <v>174</v>
      </c>
      <c r="M486" t="s">
        <v>175</v>
      </c>
      <c r="N486">
        <v>2</v>
      </c>
      <c r="O486">
        <v>5233600</v>
      </c>
      <c r="P486">
        <v>0.1</v>
      </c>
      <c r="Q486">
        <v>9420480</v>
      </c>
      <c r="R486">
        <v>7827074.3899999997</v>
      </c>
      <c r="S486">
        <v>1593405.61</v>
      </c>
      <c r="T486" t="s">
        <v>60</v>
      </c>
      <c r="U486" t="str">
        <f t="shared" si="21"/>
        <v>2024-08</v>
      </c>
      <c r="V486">
        <f t="shared" si="22"/>
        <v>4</v>
      </c>
      <c r="W486" s="2">
        <f t="shared" si="23"/>
        <v>0.16914271990386903</v>
      </c>
    </row>
    <row r="487" spans="1:23">
      <c r="A487" t="s">
        <v>1119</v>
      </c>
      <c r="B487" s="1">
        <v>45455</v>
      </c>
      <c r="C487" s="1">
        <v>45461</v>
      </c>
      <c r="D487" t="s">
        <v>293</v>
      </c>
      <c r="E487" t="s">
        <v>728</v>
      </c>
      <c r="F487" t="s">
        <v>23</v>
      </c>
      <c r="G487" t="s">
        <v>156</v>
      </c>
      <c r="H487" t="s">
        <v>157</v>
      </c>
      <c r="I487" t="s">
        <v>57</v>
      </c>
      <c r="J487" t="s">
        <v>27</v>
      </c>
      <c r="K487" t="s">
        <v>100</v>
      </c>
      <c r="L487" t="s">
        <v>105</v>
      </c>
      <c r="M487" t="s">
        <v>106</v>
      </c>
      <c r="N487">
        <v>5</v>
      </c>
      <c r="O487">
        <v>71100</v>
      </c>
      <c r="P487">
        <v>0</v>
      </c>
      <c r="Q487">
        <v>355500</v>
      </c>
      <c r="R487">
        <v>204449.46</v>
      </c>
      <c r="S487">
        <v>151050.54</v>
      </c>
      <c r="T487" t="s">
        <v>31</v>
      </c>
      <c r="U487" t="str">
        <f t="shared" si="21"/>
        <v>2024-06</v>
      </c>
      <c r="V487">
        <f t="shared" si="22"/>
        <v>6</v>
      </c>
      <c r="W487" s="2">
        <f t="shared" si="23"/>
        <v>0.42489603375527429</v>
      </c>
    </row>
    <row r="488" spans="1:23">
      <c r="A488" t="s">
        <v>1120</v>
      </c>
      <c r="B488" s="1">
        <v>45035</v>
      </c>
      <c r="C488" s="1">
        <v>45038</v>
      </c>
      <c r="D488" t="s">
        <v>450</v>
      </c>
      <c r="E488" t="s">
        <v>1121</v>
      </c>
      <c r="F488" t="s">
        <v>23</v>
      </c>
      <c r="G488" t="s">
        <v>156</v>
      </c>
      <c r="H488" t="s">
        <v>157</v>
      </c>
      <c r="I488" t="s">
        <v>57</v>
      </c>
      <c r="J488" t="s">
        <v>36</v>
      </c>
      <c r="K488" t="s">
        <v>37</v>
      </c>
      <c r="L488" t="s">
        <v>58</v>
      </c>
      <c r="M488" t="s">
        <v>59</v>
      </c>
      <c r="N488">
        <v>2</v>
      </c>
      <c r="O488">
        <v>962200</v>
      </c>
      <c r="P488">
        <v>0.05</v>
      </c>
      <c r="Q488">
        <v>1828180</v>
      </c>
      <c r="R488">
        <v>1312949.58</v>
      </c>
      <c r="S488">
        <v>515230.42</v>
      </c>
      <c r="T488" t="s">
        <v>60</v>
      </c>
      <c r="U488" t="str">
        <f t="shared" si="21"/>
        <v>2023-04</v>
      </c>
      <c r="V488">
        <f t="shared" si="22"/>
        <v>3</v>
      </c>
      <c r="W488" s="2">
        <f t="shared" si="23"/>
        <v>0.28182696452209299</v>
      </c>
    </row>
    <row r="489" spans="1:23">
      <c r="A489" t="s">
        <v>1122</v>
      </c>
      <c r="B489" s="1">
        <v>45269</v>
      </c>
      <c r="C489" s="1">
        <v>45274</v>
      </c>
      <c r="D489" t="s">
        <v>402</v>
      </c>
      <c r="E489" t="s">
        <v>1037</v>
      </c>
      <c r="F489" t="s">
        <v>23</v>
      </c>
      <c r="G489" t="s">
        <v>95</v>
      </c>
      <c r="H489" t="s">
        <v>96</v>
      </c>
      <c r="I489" t="s">
        <v>26</v>
      </c>
      <c r="J489" t="s">
        <v>47</v>
      </c>
      <c r="K489" t="s">
        <v>48</v>
      </c>
      <c r="L489" t="s">
        <v>49</v>
      </c>
      <c r="M489" t="s">
        <v>50</v>
      </c>
      <c r="N489">
        <v>1</v>
      </c>
      <c r="O489">
        <v>498400</v>
      </c>
      <c r="P489">
        <v>0.2</v>
      </c>
      <c r="Q489">
        <v>398720</v>
      </c>
      <c r="R489">
        <v>294075.71000000002</v>
      </c>
      <c r="S489">
        <v>104644.29</v>
      </c>
      <c r="T489" t="s">
        <v>60</v>
      </c>
      <c r="U489" t="str">
        <f t="shared" si="21"/>
        <v>2023-12</v>
      </c>
      <c r="V489">
        <f t="shared" si="22"/>
        <v>5</v>
      </c>
      <c r="W489" s="2">
        <f t="shared" si="23"/>
        <v>0.26245056681380413</v>
      </c>
    </row>
    <row r="490" spans="1:23">
      <c r="A490" t="s">
        <v>1123</v>
      </c>
      <c r="B490" s="1">
        <v>45920</v>
      </c>
      <c r="C490" s="1">
        <v>45924</v>
      </c>
      <c r="D490" t="s">
        <v>228</v>
      </c>
      <c r="E490" t="s">
        <v>267</v>
      </c>
      <c r="F490" t="s">
        <v>23</v>
      </c>
      <c r="G490" t="s">
        <v>44</v>
      </c>
      <c r="H490" t="s">
        <v>45</v>
      </c>
      <c r="I490" t="s">
        <v>46</v>
      </c>
      <c r="J490" t="s">
        <v>36</v>
      </c>
      <c r="K490" t="s">
        <v>81</v>
      </c>
      <c r="L490" t="s">
        <v>82</v>
      </c>
      <c r="M490" t="s">
        <v>83</v>
      </c>
      <c r="N490">
        <v>5</v>
      </c>
      <c r="O490">
        <v>698700</v>
      </c>
      <c r="P490">
        <v>0.1</v>
      </c>
      <c r="Q490">
        <v>3144150</v>
      </c>
      <c r="R490">
        <v>2324501.94</v>
      </c>
      <c r="S490">
        <v>819648.06</v>
      </c>
      <c r="T490" t="s">
        <v>73</v>
      </c>
      <c r="U490" t="str">
        <f t="shared" si="21"/>
        <v>2025-09</v>
      </c>
      <c r="V490">
        <f t="shared" si="22"/>
        <v>4</v>
      </c>
      <c r="W490" s="2">
        <f t="shared" si="23"/>
        <v>0.26068987166642815</v>
      </c>
    </row>
    <row r="491" spans="1:23">
      <c r="A491" t="s">
        <v>1124</v>
      </c>
      <c r="B491" s="1">
        <v>45083</v>
      </c>
      <c r="C491" s="1">
        <v>45084</v>
      </c>
      <c r="D491" t="s">
        <v>632</v>
      </c>
      <c r="E491" t="s">
        <v>1125</v>
      </c>
      <c r="F491" t="s">
        <v>23</v>
      </c>
      <c r="G491" t="s">
        <v>64</v>
      </c>
      <c r="H491" t="s">
        <v>65</v>
      </c>
      <c r="I491" t="s">
        <v>57</v>
      </c>
      <c r="J491" t="s">
        <v>27</v>
      </c>
      <c r="K491" t="s">
        <v>100</v>
      </c>
      <c r="L491" t="s">
        <v>101</v>
      </c>
      <c r="M491" t="s">
        <v>102</v>
      </c>
      <c r="N491">
        <v>1</v>
      </c>
      <c r="O491">
        <v>57800</v>
      </c>
      <c r="P491">
        <v>0.3</v>
      </c>
      <c r="Q491">
        <v>40460</v>
      </c>
      <c r="R491">
        <v>32362.400000000001</v>
      </c>
      <c r="S491">
        <v>8097.6</v>
      </c>
      <c r="T491" t="s">
        <v>60</v>
      </c>
      <c r="U491" t="str">
        <f t="shared" si="21"/>
        <v>2023-06</v>
      </c>
      <c r="V491">
        <f t="shared" si="22"/>
        <v>1</v>
      </c>
      <c r="W491" s="2">
        <f t="shared" si="23"/>
        <v>0.20013840830449828</v>
      </c>
    </row>
    <row r="492" spans="1:23">
      <c r="A492" t="s">
        <v>1126</v>
      </c>
      <c r="B492" s="1">
        <v>45550</v>
      </c>
      <c r="C492" s="1">
        <v>45551</v>
      </c>
      <c r="D492" t="s">
        <v>814</v>
      </c>
      <c r="E492" t="s">
        <v>361</v>
      </c>
      <c r="F492" t="s">
        <v>23</v>
      </c>
      <c r="G492" t="s">
        <v>24</v>
      </c>
      <c r="H492" t="s">
        <v>25</v>
      </c>
      <c r="I492" t="s">
        <v>26</v>
      </c>
      <c r="J492" t="s">
        <v>27</v>
      </c>
      <c r="K492" t="s">
        <v>100</v>
      </c>
      <c r="L492" t="s">
        <v>105</v>
      </c>
      <c r="M492" t="s">
        <v>106</v>
      </c>
      <c r="N492">
        <v>3</v>
      </c>
      <c r="O492">
        <v>73500</v>
      </c>
      <c r="P492">
        <v>0</v>
      </c>
      <c r="Q492">
        <v>220500</v>
      </c>
      <c r="R492">
        <v>137807.13</v>
      </c>
      <c r="S492">
        <v>82692.87</v>
      </c>
      <c r="T492" t="s">
        <v>73</v>
      </c>
      <c r="U492" t="str">
        <f t="shared" si="21"/>
        <v>2024-09</v>
      </c>
      <c r="V492">
        <f t="shared" si="22"/>
        <v>1</v>
      </c>
      <c r="W492" s="2">
        <f t="shared" si="23"/>
        <v>0.37502435374149656</v>
      </c>
    </row>
    <row r="493" spans="1:23">
      <c r="A493" t="s">
        <v>1127</v>
      </c>
      <c r="B493" s="1">
        <v>45155</v>
      </c>
      <c r="C493" s="1">
        <v>45156</v>
      </c>
      <c r="D493" t="s">
        <v>1128</v>
      </c>
      <c r="E493" t="s">
        <v>1081</v>
      </c>
      <c r="F493" t="s">
        <v>23</v>
      </c>
      <c r="G493" t="s">
        <v>169</v>
      </c>
      <c r="H493" t="s">
        <v>157</v>
      </c>
      <c r="I493" t="s">
        <v>57</v>
      </c>
      <c r="J493" t="s">
        <v>47</v>
      </c>
      <c r="K493" t="s">
        <v>128</v>
      </c>
      <c r="L493" t="s">
        <v>129</v>
      </c>
      <c r="M493" t="s">
        <v>130</v>
      </c>
      <c r="N493">
        <v>1</v>
      </c>
      <c r="O493">
        <v>1515500</v>
      </c>
      <c r="P493">
        <v>0.1</v>
      </c>
      <c r="Q493">
        <v>1363950</v>
      </c>
      <c r="R493">
        <v>1103141.71</v>
      </c>
      <c r="S493">
        <v>260808.29</v>
      </c>
      <c r="T493" t="s">
        <v>31</v>
      </c>
      <c r="U493" t="str">
        <f t="shared" si="21"/>
        <v>2023-08</v>
      </c>
      <c r="V493">
        <f t="shared" si="22"/>
        <v>1</v>
      </c>
      <c r="W493" s="2">
        <f t="shared" si="23"/>
        <v>0.19121543311704975</v>
      </c>
    </row>
    <row r="494" spans="1:23">
      <c r="A494" t="s">
        <v>1129</v>
      </c>
      <c r="B494" s="1">
        <v>45544</v>
      </c>
      <c r="C494" s="1">
        <v>45550</v>
      </c>
      <c r="D494" t="s">
        <v>893</v>
      </c>
      <c r="E494" t="s">
        <v>1130</v>
      </c>
      <c r="F494" t="s">
        <v>54</v>
      </c>
      <c r="G494" t="s">
        <v>44</v>
      </c>
      <c r="H494" t="s">
        <v>45</v>
      </c>
      <c r="I494" t="s">
        <v>46</v>
      </c>
      <c r="J494" t="s">
        <v>47</v>
      </c>
      <c r="K494" t="s">
        <v>142</v>
      </c>
      <c r="L494" t="s">
        <v>143</v>
      </c>
      <c r="M494" t="s">
        <v>144</v>
      </c>
      <c r="N494">
        <v>3</v>
      </c>
      <c r="O494">
        <v>5758400</v>
      </c>
      <c r="P494">
        <v>0.1</v>
      </c>
      <c r="Q494">
        <v>15547680</v>
      </c>
      <c r="R494">
        <v>13181719.539999999</v>
      </c>
      <c r="S494">
        <v>2365960.46</v>
      </c>
      <c r="T494" t="s">
        <v>73</v>
      </c>
      <c r="U494" t="str">
        <f t="shared" si="21"/>
        <v>2024-09</v>
      </c>
      <c r="V494">
        <f t="shared" si="22"/>
        <v>6</v>
      </c>
      <c r="W494" s="2">
        <f t="shared" si="23"/>
        <v>0.15217450191925741</v>
      </c>
    </row>
    <row r="495" spans="1:23">
      <c r="A495" t="s">
        <v>1131</v>
      </c>
      <c r="B495" s="1">
        <v>45495</v>
      </c>
      <c r="C495" s="1">
        <v>45500</v>
      </c>
      <c r="D495" t="s">
        <v>794</v>
      </c>
      <c r="E495" t="s">
        <v>1132</v>
      </c>
      <c r="F495" t="s">
        <v>35</v>
      </c>
      <c r="G495" t="s">
        <v>87</v>
      </c>
      <c r="H495" t="s">
        <v>88</v>
      </c>
      <c r="I495" t="s">
        <v>46</v>
      </c>
      <c r="J495" t="s">
        <v>36</v>
      </c>
      <c r="K495" t="s">
        <v>81</v>
      </c>
      <c r="L495" t="s">
        <v>82</v>
      </c>
      <c r="M495" t="s">
        <v>83</v>
      </c>
      <c r="N495">
        <v>2</v>
      </c>
      <c r="O495">
        <v>594800</v>
      </c>
      <c r="P495">
        <v>0.15</v>
      </c>
      <c r="Q495">
        <v>1011160</v>
      </c>
      <c r="R495">
        <v>798818.66</v>
      </c>
      <c r="S495">
        <v>212341.34</v>
      </c>
      <c r="T495" t="s">
        <v>73</v>
      </c>
      <c r="U495" t="str">
        <f t="shared" si="21"/>
        <v>2024-07</v>
      </c>
      <c r="V495">
        <f t="shared" si="22"/>
        <v>5</v>
      </c>
      <c r="W495" s="2">
        <f t="shared" si="23"/>
        <v>0.20999776494323352</v>
      </c>
    </row>
    <row r="496" spans="1:23">
      <c r="A496" t="s">
        <v>1133</v>
      </c>
      <c r="B496" s="1">
        <v>45504</v>
      </c>
      <c r="C496" s="1">
        <v>45506</v>
      </c>
      <c r="D496" t="s">
        <v>393</v>
      </c>
      <c r="E496" t="s">
        <v>927</v>
      </c>
      <c r="F496" t="s">
        <v>54</v>
      </c>
      <c r="G496" t="s">
        <v>44</v>
      </c>
      <c r="H496" t="s">
        <v>45</v>
      </c>
      <c r="I496" t="s">
        <v>46</v>
      </c>
      <c r="J496" t="s">
        <v>27</v>
      </c>
      <c r="K496" t="s">
        <v>100</v>
      </c>
      <c r="L496" t="s">
        <v>101</v>
      </c>
      <c r="M496" t="s">
        <v>102</v>
      </c>
      <c r="N496">
        <v>2</v>
      </c>
      <c r="O496">
        <v>59700</v>
      </c>
      <c r="P496">
        <v>0.05</v>
      </c>
      <c r="Q496">
        <v>113430</v>
      </c>
      <c r="R496">
        <v>70562.89</v>
      </c>
      <c r="S496">
        <v>42867.11</v>
      </c>
      <c r="T496" t="s">
        <v>40</v>
      </c>
      <c r="U496" t="str">
        <f t="shared" si="21"/>
        <v>2024-07</v>
      </c>
      <c r="V496">
        <f t="shared" si="22"/>
        <v>2</v>
      </c>
      <c r="W496" s="2">
        <f t="shared" si="23"/>
        <v>0.37791686502688882</v>
      </c>
    </row>
    <row r="497" spans="1:23">
      <c r="A497" t="s">
        <v>1134</v>
      </c>
      <c r="B497" s="1">
        <v>45704</v>
      </c>
      <c r="C497" s="1">
        <v>45708</v>
      </c>
      <c r="D497" t="s">
        <v>1135</v>
      </c>
      <c r="E497" t="s">
        <v>414</v>
      </c>
      <c r="F497" t="s">
        <v>23</v>
      </c>
      <c r="G497" t="s">
        <v>169</v>
      </c>
      <c r="H497" t="s">
        <v>157</v>
      </c>
      <c r="I497" t="s">
        <v>57</v>
      </c>
      <c r="J497" t="s">
        <v>47</v>
      </c>
      <c r="K497" t="s">
        <v>173</v>
      </c>
      <c r="L497" t="s">
        <v>174</v>
      </c>
      <c r="M497" t="s">
        <v>175</v>
      </c>
      <c r="N497">
        <v>1</v>
      </c>
      <c r="O497">
        <v>4344100</v>
      </c>
      <c r="P497">
        <v>0</v>
      </c>
      <c r="Q497">
        <v>4344100</v>
      </c>
      <c r="R497">
        <v>3418032.08</v>
      </c>
      <c r="S497">
        <v>926067.92</v>
      </c>
      <c r="T497" t="s">
        <v>60</v>
      </c>
      <c r="U497" t="str">
        <f t="shared" si="21"/>
        <v>2025-02</v>
      </c>
      <c r="V497">
        <f t="shared" si="22"/>
        <v>4</v>
      </c>
      <c r="W497" s="2">
        <f t="shared" si="23"/>
        <v>0.2131783154163118</v>
      </c>
    </row>
    <row r="498" spans="1:23">
      <c r="A498" t="s">
        <v>1136</v>
      </c>
      <c r="B498" s="1">
        <v>45010</v>
      </c>
      <c r="C498" s="1">
        <v>45011</v>
      </c>
      <c r="D498" t="s">
        <v>263</v>
      </c>
      <c r="E498" t="s">
        <v>1137</v>
      </c>
      <c r="F498" t="s">
        <v>23</v>
      </c>
      <c r="G498" t="s">
        <v>169</v>
      </c>
      <c r="H498" t="s">
        <v>157</v>
      </c>
      <c r="I498" t="s">
        <v>57</v>
      </c>
      <c r="J498" t="s">
        <v>47</v>
      </c>
      <c r="K498" t="s">
        <v>142</v>
      </c>
      <c r="L498" t="s">
        <v>143</v>
      </c>
      <c r="M498" t="s">
        <v>144</v>
      </c>
      <c r="N498">
        <v>3</v>
      </c>
      <c r="O498">
        <v>6618700</v>
      </c>
      <c r="P498">
        <v>0</v>
      </c>
      <c r="Q498">
        <v>19856100</v>
      </c>
      <c r="R498">
        <v>15931687.800000001</v>
      </c>
      <c r="S498">
        <v>3924412.2</v>
      </c>
      <c r="T498" t="s">
        <v>60</v>
      </c>
      <c r="U498" t="str">
        <f t="shared" si="21"/>
        <v>2023-03</v>
      </c>
      <c r="V498">
        <f t="shared" si="22"/>
        <v>1</v>
      </c>
      <c r="W498" s="2">
        <f t="shared" si="23"/>
        <v>0.19764264885853719</v>
      </c>
    </row>
    <row r="499" spans="1:23">
      <c r="A499" t="s">
        <v>1138</v>
      </c>
      <c r="B499" s="1">
        <v>45069</v>
      </c>
      <c r="C499" s="1">
        <v>45076</v>
      </c>
      <c r="D499" t="s">
        <v>233</v>
      </c>
      <c r="E499" t="s">
        <v>858</v>
      </c>
      <c r="F499" t="s">
        <v>23</v>
      </c>
      <c r="G499" t="s">
        <v>80</v>
      </c>
      <c r="H499" t="s">
        <v>45</v>
      </c>
      <c r="I499" t="s">
        <v>46</v>
      </c>
      <c r="J499" t="s">
        <v>27</v>
      </c>
      <c r="K499" t="s">
        <v>179</v>
      </c>
      <c r="L499" t="s">
        <v>180</v>
      </c>
      <c r="M499" t="s">
        <v>181</v>
      </c>
      <c r="N499">
        <v>3</v>
      </c>
      <c r="O499">
        <v>55300</v>
      </c>
      <c r="P499">
        <v>0.1</v>
      </c>
      <c r="Q499">
        <v>149310</v>
      </c>
      <c r="R499">
        <v>91263.6</v>
      </c>
      <c r="S499">
        <v>58046.400000000001</v>
      </c>
      <c r="T499" t="s">
        <v>40</v>
      </c>
      <c r="U499" t="str">
        <f t="shared" si="21"/>
        <v>2023-05</v>
      </c>
      <c r="V499">
        <f t="shared" si="22"/>
        <v>7</v>
      </c>
      <c r="W499" s="2">
        <f t="shared" si="23"/>
        <v>0.38876431585292348</v>
      </c>
    </row>
    <row r="500" spans="1:23">
      <c r="A500" t="s">
        <v>1139</v>
      </c>
      <c r="B500" s="1">
        <v>45747</v>
      </c>
      <c r="C500" s="1">
        <v>45753</v>
      </c>
      <c r="D500" t="s">
        <v>814</v>
      </c>
      <c r="E500" t="s">
        <v>430</v>
      </c>
      <c r="F500" t="s">
        <v>23</v>
      </c>
      <c r="G500" t="s">
        <v>80</v>
      </c>
      <c r="H500" t="s">
        <v>45</v>
      </c>
      <c r="I500" t="s">
        <v>46</v>
      </c>
      <c r="J500" t="s">
        <v>36</v>
      </c>
      <c r="K500" t="s">
        <v>81</v>
      </c>
      <c r="L500" t="s">
        <v>215</v>
      </c>
      <c r="M500" t="s">
        <v>216</v>
      </c>
      <c r="N500">
        <v>2</v>
      </c>
      <c r="O500">
        <v>1804100</v>
      </c>
      <c r="P500">
        <v>0.3</v>
      </c>
      <c r="Q500">
        <v>2525740</v>
      </c>
      <c r="R500">
        <v>2300346.5499999998</v>
      </c>
      <c r="S500">
        <v>225393.45</v>
      </c>
      <c r="T500" t="s">
        <v>73</v>
      </c>
      <c r="U500" t="str">
        <f t="shared" si="21"/>
        <v>2025-03</v>
      </c>
      <c r="V500">
        <f t="shared" si="22"/>
        <v>6</v>
      </c>
      <c r="W500" s="2">
        <f t="shared" si="23"/>
        <v>8.9238579584596994E-2</v>
      </c>
    </row>
    <row r="501" spans="1:23">
      <c r="A501" t="s">
        <v>1140</v>
      </c>
      <c r="B501" s="1">
        <v>45497</v>
      </c>
      <c r="C501" s="1">
        <v>45504</v>
      </c>
      <c r="D501" t="s">
        <v>462</v>
      </c>
      <c r="E501" t="s">
        <v>206</v>
      </c>
      <c r="F501" t="s">
        <v>23</v>
      </c>
      <c r="G501" t="s">
        <v>169</v>
      </c>
      <c r="H501" t="s">
        <v>157</v>
      </c>
      <c r="I501" t="s">
        <v>57</v>
      </c>
      <c r="J501" t="s">
        <v>27</v>
      </c>
      <c r="K501" t="s">
        <v>179</v>
      </c>
      <c r="L501" t="s">
        <v>244</v>
      </c>
      <c r="M501" t="s">
        <v>245</v>
      </c>
      <c r="N501">
        <v>10</v>
      </c>
      <c r="O501">
        <v>38500</v>
      </c>
      <c r="P501">
        <v>0</v>
      </c>
      <c r="Q501">
        <v>385000</v>
      </c>
      <c r="R501">
        <v>194252.23</v>
      </c>
      <c r="S501">
        <v>190747.77</v>
      </c>
      <c r="T501" t="s">
        <v>40</v>
      </c>
      <c r="U501" t="str">
        <f t="shared" si="21"/>
        <v>2024-07</v>
      </c>
      <c r="V501">
        <f t="shared" si="22"/>
        <v>7</v>
      </c>
      <c r="W501" s="2">
        <f t="shared" si="23"/>
        <v>0.49544875324675319</v>
      </c>
    </row>
    <row r="502" spans="1:23">
      <c r="A502" t="s">
        <v>1141</v>
      </c>
      <c r="B502" s="1">
        <v>45945</v>
      </c>
      <c r="C502" s="1">
        <v>45947</v>
      </c>
      <c r="D502" t="s">
        <v>1142</v>
      </c>
      <c r="E502" t="s">
        <v>1143</v>
      </c>
      <c r="F502" t="s">
        <v>23</v>
      </c>
      <c r="G502" t="s">
        <v>140</v>
      </c>
      <c r="H502" t="s">
        <v>141</v>
      </c>
      <c r="I502" t="s">
        <v>46</v>
      </c>
      <c r="J502" t="s">
        <v>27</v>
      </c>
      <c r="K502" t="s">
        <v>28</v>
      </c>
      <c r="L502" t="s">
        <v>71</v>
      </c>
      <c r="M502" t="s">
        <v>72</v>
      </c>
      <c r="N502">
        <v>5</v>
      </c>
      <c r="O502">
        <v>45400</v>
      </c>
      <c r="P502">
        <v>0</v>
      </c>
      <c r="Q502">
        <v>227000</v>
      </c>
      <c r="R502">
        <v>114886.26</v>
      </c>
      <c r="S502">
        <v>112113.74</v>
      </c>
      <c r="T502" t="s">
        <v>31</v>
      </c>
      <c r="U502" t="str">
        <f t="shared" si="21"/>
        <v>2025-10</v>
      </c>
      <c r="V502">
        <f t="shared" si="22"/>
        <v>2</v>
      </c>
      <c r="W502" s="2">
        <f t="shared" si="23"/>
        <v>0.49389312775330396</v>
      </c>
    </row>
    <row r="503" spans="1:23">
      <c r="A503" t="s">
        <v>1144</v>
      </c>
      <c r="B503" s="1">
        <v>45124</v>
      </c>
      <c r="C503" s="1">
        <v>45131</v>
      </c>
      <c r="D503" t="s">
        <v>1145</v>
      </c>
      <c r="E503" t="s">
        <v>993</v>
      </c>
      <c r="F503" t="s">
        <v>23</v>
      </c>
      <c r="G503" t="s">
        <v>64</v>
      </c>
      <c r="H503" t="s">
        <v>65</v>
      </c>
      <c r="I503" t="s">
        <v>57</v>
      </c>
      <c r="J503" t="s">
        <v>47</v>
      </c>
      <c r="K503" t="s">
        <v>128</v>
      </c>
      <c r="L503" t="s">
        <v>129</v>
      </c>
      <c r="M503" t="s">
        <v>130</v>
      </c>
      <c r="N503">
        <v>2</v>
      </c>
      <c r="O503">
        <v>1388500</v>
      </c>
      <c r="P503">
        <v>0.05</v>
      </c>
      <c r="Q503">
        <v>2638150</v>
      </c>
      <c r="R503">
        <v>2122920.2200000002</v>
      </c>
      <c r="S503">
        <v>515229.78</v>
      </c>
      <c r="T503" t="s">
        <v>40</v>
      </c>
      <c r="U503" t="str">
        <f t="shared" si="21"/>
        <v>2023-07</v>
      </c>
      <c r="V503">
        <f t="shared" si="22"/>
        <v>7</v>
      </c>
      <c r="W503" s="2">
        <f t="shared" si="23"/>
        <v>0.19529965316604439</v>
      </c>
    </row>
    <row r="504" spans="1:23">
      <c r="A504" t="s">
        <v>1146</v>
      </c>
      <c r="B504" s="1">
        <v>45808</v>
      </c>
      <c r="C504" s="1">
        <v>45809</v>
      </c>
      <c r="D504" t="s">
        <v>834</v>
      </c>
      <c r="E504" t="s">
        <v>641</v>
      </c>
      <c r="F504" t="s">
        <v>23</v>
      </c>
      <c r="G504" t="s">
        <v>169</v>
      </c>
      <c r="H504" t="s">
        <v>157</v>
      </c>
      <c r="I504" t="s">
        <v>57</v>
      </c>
      <c r="J504" t="s">
        <v>36</v>
      </c>
      <c r="K504" t="s">
        <v>89</v>
      </c>
      <c r="L504" t="s">
        <v>151</v>
      </c>
      <c r="M504" t="s">
        <v>152</v>
      </c>
      <c r="N504">
        <v>1</v>
      </c>
      <c r="O504">
        <v>1278100</v>
      </c>
      <c r="P504">
        <v>0.2</v>
      </c>
      <c r="Q504">
        <v>1022480</v>
      </c>
      <c r="R504">
        <v>847246.33</v>
      </c>
      <c r="S504">
        <v>175233.67</v>
      </c>
      <c r="T504" t="s">
        <v>31</v>
      </c>
      <c r="U504" t="str">
        <f t="shared" si="21"/>
        <v>2025-05</v>
      </c>
      <c r="V504">
        <f t="shared" si="22"/>
        <v>1</v>
      </c>
      <c r="W504" s="2">
        <f t="shared" si="23"/>
        <v>0.17138102456771773</v>
      </c>
    </row>
    <row r="505" spans="1:23">
      <c r="A505" t="s">
        <v>1147</v>
      </c>
      <c r="B505" s="1">
        <v>45202</v>
      </c>
      <c r="C505" s="1">
        <v>45205</v>
      </c>
      <c r="D505" t="s">
        <v>868</v>
      </c>
      <c r="E505" t="s">
        <v>550</v>
      </c>
      <c r="F505" t="s">
        <v>35</v>
      </c>
      <c r="G505" t="s">
        <v>44</v>
      </c>
      <c r="H505" t="s">
        <v>45</v>
      </c>
      <c r="I505" t="s">
        <v>46</v>
      </c>
      <c r="J505" t="s">
        <v>27</v>
      </c>
      <c r="K505" t="s">
        <v>116</v>
      </c>
      <c r="L505" t="s">
        <v>207</v>
      </c>
      <c r="M505" t="s">
        <v>208</v>
      </c>
      <c r="N505">
        <v>3</v>
      </c>
      <c r="O505">
        <v>120800</v>
      </c>
      <c r="P505">
        <v>0.1</v>
      </c>
      <c r="Q505">
        <v>326160</v>
      </c>
      <c r="R505">
        <v>209019.64</v>
      </c>
      <c r="S505">
        <v>117140.36</v>
      </c>
      <c r="T505" t="s">
        <v>40</v>
      </c>
      <c r="U505" t="str">
        <f t="shared" si="21"/>
        <v>2023-10</v>
      </c>
      <c r="V505">
        <f t="shared" si="22"/>
        <v>3</v>
      </c>
      <c r="W505" s="2">
        <f t="shared" si="23"/>
        <v>0.35914998773608048</v>
      </c>
    </row>
    <row r="506" spans="1:23">
      <c r="A506" t="s">
        <v>1148</v>
      </c>
      <c r="B506" s="1">
        <v>45728</v>
      </c>
      <c r="C506" s="1">
        <v>45731</v>
      </c>
      <c r="D506" t="s">
        <v>377</v>
      </c>
      <c r="E506" t="s">
        <v>687</v>
      </c>
      <c r="F506" t="s">
        <v>35</v>
      </c>
      <c r="G506" t="s">
        <v>55</v>
      </c>
      <c r="H506" t="s">
        <v>56</v>
      </c>
      <c r="I506" t="s">
        <v>57</v>
      </c>
      <c r="J506" t="s">
        <v>36</v>
      </c>
      <c r="K506" t="s">
        <v>89</v>
      </c>
      <c r="L506" t="s">
        <v>90</v>
      </c>
      <c r="M506" t="s">
        <v>91</v>
      </c>
      <c r="N506">
        <v>2</v>
      </c>
      <c r="O506">
        <v>2854500</v>
      </c>
      <c r="P506">
        <v>0</v>
      </c>
      <c r="Q506">
        <v>5709000</v>
      </c>
      <c r="R506">
        <v>4231288.1900000004</v>
      </c>
      <c r="S506">
        <v>1477711.81</v>
      </c>
      <c r="T506" t="s">
        <v>60</v>
      </c>
      <c r="U506" t="str">
        <f t="shared" si="21"/>
        <v>2025-03</v>
      </c>
      <c r="V506">
        <f t="shared" si="22"/>
        <v>3</v>
      </c>
      <c r="W506" s="2">
        <f t="shared" si="23"/>
        <v>0.25883899281835698</v>
      </c>
    </row>
    <row r="507" spans="1:23">
      <c r="A507" t="s">
        <v>1149</v>
      </c>
      <c r="B507" s="1">
        <v>44982</v>
      </c>
      <c r="C507" s="1">
        <v>44989</v>
      </c>
      <c r="D507" t="s">
        <v>192</v>
      </c>
      <c r="E507" t="s">
        <v>489</v>
      </c>
      <c r="F507" t="s">
        <v>23</v>
      </c>
      <c r="G507" t="s">
        <v>169</v>
      </c>
      <c r="H507" t="s">
        <v>157</v>
      </c>
      <c r="I507" t="s">
        <v>57</v>
      </c>
      <c r="J507" t="s">
        <v>27</v>
      </c>
      <c r="K507" t="s">
        <v>179</v>
      </c>
      <c r="L507" t="s">
        <v>180</v>
      </c>
      <c r="M507" t="s">
        <v>181</v>
      </c>
      <c r="N507">
        <v>10</v>
      </c>
      <c r="O507">
        <v>55500</v>
      </c>
      <c r="P507">
        <v>0</v>
      </c>
      <c r="Q507">
        <v>555000</v>
      </c>
      <c r="R507">
        <v>288781.69</v>
      </c>
      <c r="S507">
        <v>266218.31</v>
      </c>
      <c r="T507" t="s">
        <v>60</v>
      </c>
      <c r="U507" t="str">
        <f t="shared" si="21"/>
        <v>2023-02</v>
      </c>
      <c r="V507">
        <f t="shared" si="22"/>
        <v>7</v>
      </c>
      <c r="W507" s="2">
        <f t="shared" si="23"/>
        <v>0.47967263063063065</v>
      </c>
    </row>
    <row r="508" spans="1:23">
      <c r="A508" t="s">
        <v>1150</v>
      </c>
      <c r="B508" s="1">
        <v>45100</v>
      </c>
      <c r="C508" s="1">
        <v>45106</v>
      </c>
      <c r="D508" t="s">
        <v>643</v>
      </c>
      <c r="E508" t="s">
        <v>1078</v>
      </c>
      <c r="F508" t="s">
        <v>23</v>
      </c>
      <c r="G508" t="s">
        <v>44</v>
      </c>
      <c r="H508" t="s">
        <v>45</v>
      </c>
      <c r="I508" t="s">
        <v>46</v>
      </c>
      <c r="J508" t="s">
        <v>47</v>
      </c>
      <c r="K508" t="s">
        <v>48</v>
      </c>
      <c r="L508" t="s">
        <v>66</v>
      </c>
      <c r="M508" t="s">
        <v>67</v>
      </c>
      <c r="N508">
        <v>2</v>
      </c>
      <c r="O508">
        <v>113500</v>
      </c>
      <c r="P508">
        <v>0.1</v>
      </c>
      <c r="Q508">
        <v>204300</v>
      </c>
      <c r="R508">
        <v>132307.96</v>
      </c>
      <c r="S508">
        <v>71992.039999999994</v>
      </c>
      <c r="T508" t="s">
        <v>31</v>
      </c>
      <c r="U508" t="str">
        <f t="shared" si="21"/>
        <v>2023-06</v>
      </c>
      <c r="V508">
        <f t="shared" si="22"/>
        <v>6</v>
      </c>
      <c r="W508" s="2">
        <f t="shared" si="23"/>
        <v>0.35238394517865879</v>
      </c>
    </row>
    <row r="509" spans="1:23">
      <c r="A509" t="s">
        <v>1151</v>
      </c>
      <c r="B509" s="1">
        <v>45888</v>
      </c>
      <c r="C509" s="1">
        <v>45893</v>
      </c>
      <c r="D509" t="s">
        <v>396</v>
      </c>
      <c r="E509" t="s">
        <v>248</v>
      </c>
      <c r="F509" t="s">
        <v>35</v>
      </c>
      <c r="G509" t="s">
        <v>169</v>
      </c>
      <c r="H509" t="s">
        <v>157</v>
      </c>
      <c r="I509" t="s">
        <v>57</v>
      </c>
      <c r="J509" t="s">
        <v>47</v>
      </c>
      <c r="K509" t="s">
        <v>48</v>
      </c>
      <c r="L509" t="s">
        <v>49</v>
      </c>
      <c r="M509" t="s">
        <v>50</v>
      </c>
      <c r="N509">
        <v>3</v>
      </c>
      <c r="O509">
        <v>522700</v>
      </c>
      <c r="P509">
        <v>0</v>
      </c>
      <c r="Q509">
        <v>1568100</v>
      </c>
      <c r="R509">
        <v>1008937.45</v>
      </c>
      <c r="S509">
        <v>559162.55000000005</v>
      </c>
      <c r="T509" t="s">
        <v>60</v>
      </c>
      <c r="U509" t="str">
        <f t="shared" si="21"/>
        <v>2025-08</v>
      </c>
      <c r="V509">
        <f t="shared" si="22"/>
        <v>5</v>
      </c>
      <c r="W509" s="2">
        <f t="shared" si="23"/>
        <v>0.35658602767680636</v>
      </c>
    </row>
    <row r="510" spans="1:23">
      <c r="A510" t="s">
        <v>1152</v>
      </c>
      <c r="B510" s="1">
        <v>45622</v>
      </c>
      <c r="C510" s="1">
        <v>45624</v>
      </c>
      <c r="D510" t="s">
        <v>281</v>
      </c>
      <c r="E510" t="s">
        <v>711</v>
      </c>
      <c r="F510" t="s">
        <v>23</v>
      </c>
      <c r="G510" t="s">
        <v>169</v>
      </c>
      <c r="H510" t="s">
        <v>157</v>
      </c>
      <c r="I510" t="s">
        <v>57</v>
      </c>
      <c r="J510" t="s">
        <v>36</v>
      </c>
      <c r="K510" t="s">
        <v>89</v>
      </c>
      <c r="L510" t="s">
        <v>151</v>
      </c>
      <c r="M510" t="s">
        <v>152</v>
      </c>
      <c r="N510">
        <v>5</v>
      </c>
      <c r="O510">
        <v>1272400</v>
      </c>
      <c r="P510">
        <v>0</v>
      </c>
      <c r="Q510">
        <v>6362000</v>
      </c>
      <c r="R510">
        <v>4075751.56</v>
      </c>
      <c r="S510">
        <v>2286248.44</v>
      </c>
      <c r="T510" t="s">
        <v>31</v>
      </c>
      <c r="U510" t="str">
        <f t="shared" si="21"/>
        <v>2024-11</v>
      </c>
      <c r="V510">
        <f t="shared" si="22"/>
        <v>2</v>
      </c>
      <c r="W510" s="2">
        <f t="shared" si="23"/>
        <v>0.35936001886199309</v>
      </c>
    </row>
    <row r="511" spans="1:23">
      <c r="A511" t="s">
        <v>1153</v>
      </c>
      <c r="B511" s="1">
        <v>45115</v>
      </c>
      <c r="C511" s="1">
        <v>45121</v>
      </c>
      <c r="D511" t="s">
        <v>438</v>
      </c>
      <c r="E511" t="s">
        <v>279</v>
      </c>
      <c r="F511" t="s">
        <v>23</v>
      </c>
      <c r="G511" t="s">
        <v>55</v>
      </c>
      <c r="H511" t="s">
        <v>56</v>
      </c>
      <c r="I511" t="s">
        <v>57</v>
      </c>
      <c r="J511" t="s">
        <v>27</v>
      </c>
      <c r="K511" t="s">
        <v>100</v>
      </c>
      <c r="L511" t="s">
        <v>105</v>
      </c>
      <c r="M511" t="s">
        <v>106</v>
      </c>
      <c r="N511">
        <v>3</v>
      </c>
      <c r="O511">
        <v>77300</v>
      </c>
      <c r="P511">
        <v>0.05</v>
      </c>
      <c r="Q511">
        <v>220305</v>
      </c>
      <c r="R511">
        <v>133849.82</v>
      </c>
      <c r="S511">
        <v>86455.18</v>
      </c>
      <c r="T511" t="s">
        <v>31</v>
      </c>
      <c r="U511" t="str">
        <f t="shared" si="21"/>
        <v>2023-07</v>
      </c>
      <c r="V511">
        <f t="shared" si="22"/>
        <v>6</v>
      </c>
      <c r="W511" s="2">
        <f t="shared" si="23"/>
        <v>0.39243403463380311</v>
      </c>
    </row>
    <row r="512" spans="1:23">
      <c r="A512" t="s">
        <v>1154</v>
      </c>
      <c r="B512" s="1">
        <v>45545</v>
      </c>
      <c r="C512" s="1">
        <v>45550</v>
      </c>
      <c r="D512" t="s">
        <v>393</v>
      </c>
      <c r="E512" t="s">
        <v>500</v>
      </c>
      <c r="F512" t="s">
        <v>23</v>
      </c>
      <c r="G512" t="s">
        <v>87</v>
      </c>
      <c r="H512" t="s">
        <v>88</v>
      </c>
      <c r="I512" t="s">
        <v>46</v>
      </c>
      <c r="J512" t="s">
        <v>27</v>
      </c>
      <c r="K512" t="s">
        <v>116</v>
      </c>
      <c r="L512" t="s">
        <v>117</v>
      </c>
      <c r="M512" t="s">
        <v>118</v>
      </c>
      <c r="N512">
        <v>2</v>
      </c>
      <c r="O512">
        <v>28000</v>
      </c>
      <c r="P512">
        <v>0.05</v>
      </c>
      <c r="Q512">
        <v>53200</v>
      </c>
      <c r="R512">
        <v>28791.35</v>
      </c>
      <c r="S512">
        <v>24408.65</v>
      </c>
      <c r="T512" t="s">
        <v>40</v>
      </c>
      <c r="U512" t="str">
        <f t="shared" si="21"/>
        <v>2024-09</v>
      </c>
      <c r="V512">
        <f t="shared" si="22"/>
        <v>5</v>
      </c>
      <c r="W512" s="2">
        <f t="shared" si="23"/>
        <v>0.45880921052631579</v>
      </c>
    </row>
    <row r="513" spans="1:23">
      <c r="A513" t="s">
        <v>1155</v>
      </c>
      <c r="B513" s="1">
        <v>45984</v>
      </c>
      <c r="C513" s="1">
        <v>45991</v>
      </c>
      <c r="D513" t="s">
        <v>177</v>
      </c>
      <c r="E513" t="s">
        <v>605</v>
      </c>
      <c r="F513" t="s">
        <v>35</v>
      </c>
      <c r="G513" t="s">
        <v>24</v>
      </c>
      <c r="H513" t="s">
        <v>25</v>
      </c>
      <c r="I513" t="s">
        <v>26</v>
      </c>
      <c r="J513" t="s">
        <v>47</v>
      </c>
      <c r="K513" t="s">
        <v>128</v>
      </c>
      <c r="L513" t="s">
        <v>129</v>
      </c>
      <c r="M513" t="s">
        <v>130</v>
      </c>
      <c r="N513">
        <v>1</v>
      </c>
      <c r="O513">
        <v>1508500</v>
      </c>
      <c r="P513">
        <v>0.15</v>
      </c>
      <c r="Q513">
        <v>1282225</v>
      </c>
      <c r="R513">
        <v>1152222.03</v>
      </c>
      <c r="S513">
        <v>130002.97</v>
      </c>
      <c r="T513" t="s">
        <v>40</v>
      </c>
      <c r="U513" t="str">
        <f t="shared" si="21"/>
        <v>2025-11</v>
      </c>
      <c r="V513">
        <f t="shared" si="22"/>
        <v>7</v>
      </c>
      <c r="W513" s="2">
        <f t="shared" si="23"/>
        <v>0.10138857844762035</v>
      </c>
    </row>
    <row r="514" spans="1:23">
      <c r="A514" t="s">
        <v>1156</v>
      </c>
      <c r="B514" s="1">
        <v>45049</v>
      </c>
      <c r="C514" s="1">
        <v>45054</v>
      </c>
      <c r="D514" t="s">
        <v>1157</v>
      </c>
      <c r="E514" t="s">
        <v>1158</v>
      </c>
      <c r="F514" t="s">
        <v>23</v>
      </c>
      <c r="G514" t="s">
        <v>80</v>
      </c>
      <c r="H514" t="s">
        <v>45</v>
      </c>
      <c r="I514" t="s">
        <v>46</v>
      </c>
      <c r="J514" t="s">
        <v>47</v>
      </c>
      <c r="K514" t="s">
        <v>128</v>
      </c>
      <c r="L514" t="s">
        <v>129</v>
      </c>
      <c r="M514" t="s">
        <v>130</v>
      </c>
      <c r="N514">
        <v>5</v>
      </c>
      <c r="O514">
        <v>1435900</v>
      </c>
      <c r="P514">
        <v>0.2</v>
      </c>
      <c r="Q514">
        <v>5743600</v>
      </c>
      <c r="R514">
        <v>5523063.6900000004</v>
      </c>
      <c r="S514">
        <v>220536.31</v>
      </c>
      <c r="T514" t="s">
        <v>60</v>
      </c>
      <c r="U514" t="str">
        <f t="shared" si="21"/>
        <v>2023-05</v>
      </c>
      <c r="V514">
        <f t="shared" si="22"/>
        <v>5</v>
      </c>
      <c r="W514" s="2">
        <f t="shared" si="23"/>
        <v>3.8396878264503095E-2</v>
      </c>
    </row>
    <row r="515" spans="1:23">
      <c r="A515" t="s">
        <v>1159</v>
      </c>
      <c r="B515" s="1">
        <v>45473</v>
      </c>
      <c r="C515" s="1">
        <v>45480</v>
      </c>
      <c r="D515" t="s">
        <v>1160</v>
      </c>
      <c r="E515" t="s">
        <v>190</v>
      </c>
      <c r="F515" t="s">
        <v>35</v>
      </c>
      <c r="G515" t="s">
        <v>95</v>
      </c>
      <c r="H515" t="s">
        <v>96</v>
      </c>
      <c r="I515" t="s">
        <v>26</v>
      </c>
      <c r="J515" t="s">
        <v>47</v>
      </c>
      <c r="K515" t="s">
        <v>173</v>
      </c>
      <c r="L515" t="s">
        <v>203</v>
      </c>
      <c r="M515" t="s">
        <v>204</v>
      </c>
      <c r="N515">
        <v>2</v>
      </c>
      <c r="O515">
        <v>2959900</v>
      </c>
      <c r="P515">
        <v>0</v>
      </c>
      <c r="Q515">
        <v>5919800</v>
      </c>
      <c r="R515">
        <v>4417733.37</v>
      </c>
      <c r="S515">
        <v>1502066.63</v>
      </c>
      <c r="T515" t="s">
        <v>73</v>
      </c>
      <c r="U515" t="str">
        <f t="shared" ref="U515:U578" si="24">TEXT(B515,"yyyy-mm")</f>
        <v>2024-06</v>
      </c>
      <c r="V515">
        <f t="shared" ref="V515:V578" si="25">C515-B515</f>
        <v>7</v>
      </c>
      <c r="W515" s="2">
        <f t="shared" ref="W515:W578" si="26">IF(Q515=0,0,S515/Q515)</f>
        <v>0.25373604344741374</v>
      </c>
    </row>
    <row r="516" spans="1:23">
      <c r="A516" t="s">
        <v>1161</v>
      </c>
      <c r="B516" s="1">
        <v>45820</v>
      </c>
      <c r="C516" s="1">
        <v>45824</v>
      </c>
      <c r="D516" t="s">
        <v>560</v>
      </c>
      <c r="E516" t="s">
        <v>430</v>
      </c>
      <c r="F516" t="s">
        <v>23</v>
      </c>
      <c r="G516" t="s">
        <v>24</v>
      </c>
      <c r="H516" t="s">
        <v>25</v>
      </c>
      <c r="I516" t="s">
        <v>26</v>
      </c>
      <c r="J516" t="s">
        <v>27</v>
      </c>
      <c r="K516" t="s">
        <v>100</v>
      </c>
      <c r="L516" t="s">
        <v>101</v>
      </c>
      <c r="M516" t="s">
        <v>102</v>
      </c>
      <c r="N516">
        <v>1</v>
      </c>
      <c r="O516">
        <v>62300</v>
      </c>
      <c r="P516">
        <v>0</v>
      </c>
      <c r="Q516">
        <v>62300</v>
      </c>
      <c r="R516">
        <v>35004.839999999997</v>
      </c>
      <c r="S516">
        <v>27295.16</v>
      </c>
      <c r="T516" t="s">
        <v>73</v>
      </c>
      <c r="U516" t="str">
        <f t="shared" si="24"/>
        <v>2025-06</v>
      </c>
      <c r="V516">
        <f t="shared" si="25"/>
        <v>4</v>
      </c>
      <c r="W516" s="2">
        <f t="shared" si="26"/>
        <v>0.43812455858747995</v>
      </c>
    </row>
    <row r="517" spans="1:23">
      <c r="A517" t="s">
        <v>1162</v>
      </c>
      <c r="B517" s="1">
        <v>44967</v>
      </c>
      <c r="C517" s="1">
        <v>44968</v>
      </c>
      <c r="D517" t="s">
        <v>322</v>
      </c>
      <c r="E517" t="s">
        <v>780</v>
      </c>
      <c r="F517" t="s">
        <v>35</v>
      </c>
      <c r="G517" t="s">
        <v>156</v>
      </c>
      <c r="H517" t="s">
        <v>157</v>
      </c>
      <c r="I517" t="s">
        <v>57</v>
      </c>
      <c r="J517" t="s">
        <v>27</v>
      </c>
      <c r="K517" t="s">
        <v>100</v>
      </c>
      <c r="L517" t="s">
        <v>105</v>
      </c>
      <c r="M517" t="s">
        <v>106</v>
      </c>
      <c r="N517">
        <v>6</v>
      </c>
      <c r="O517">
        <v>75200</v>
      </c>
      <c r="P517">
        <v>0.05</v>
      </c>
      <c r="Q517">
        <v>428640</v>
      </c>
      <c r="R517">
        <v>270977.3</v>
      </c>
      <c r="S517">
        <v>157662.70000000001</v>
      </c>
      <c r="T517" t="s">
        <v>31</v>
      </c>
      <c r="U517" t="str">
        <f t="shared" si="24"/>
        <v>2023-02</v>
      </c>
      <c r="V517">
        <f t="shared" si="25"/>
        <v>1</v>
      </c>
      <c r="W517" s="2">
        <f t="shared" si="26"/>
        <v>0.36782078200821205</v>
      </c>
    </row>
    <row r="518" spans="1:23">
      <c r="A518" t="s">
        <v>1163</v>
      </c>
      <c r="B518" s="1">
        <v>45214</v>
      </c>
      <c r="C518" s="1">
        <v>45216</v>
      </c>
      <c r="D518" t="s">
        <v>464</v>
      </c>
      <c r="E518" t="s">
        <v>240</v>
      </c>
      <c r="F518" t="s">
        <v>35</v>
      </c>
      <c r="G518" t="s">
        <v>87</v>
      </c>
      <c r="H518" t="s">
        <v>88</v>
      </c>
      <c r="I518" t="s">
        <v>46</v>
      </c>
      <c r="J518" t="s">
        <v>47</v>
      </c>
      <c r="K518" t="s">
        <v>142</v>
      </c>
      <c r="L518" t="s">
        <v>143</v>
      </c>
      <c r="M518" t="s">
        <v>144</v>
      </c>
      <c r="N518">
        <v>2</v>
      </c>
      <c r="O518">
        <v>5611100</v>
      </c>
      <c r="P518">
        <v>0.1</v>
      </c>
      <c r="Q518">
        <v>10099980</v>
      </c>
      <c r="R518">
        <v>9431269.8900000006</v>
      </c>
      <c r="S518">
        <v>668710.11</v>
      </c>
      <c r="T518" t="s">
        <v>60</v>
      </c>
      <c r="U518" t="str">
        <f t="shared" si="24"/>
        <v>2023-10</v>
      </c>
      <c r="V518">
        <f t="shared" si="25"/>
        <v>2</v>
      </c>
      <c r="W518" s="2">
        <f t="shared" si="26"/>
        <v>6.6209052889213638E-2</v>
      </c>
    </row>
    <row r="519" spans="1:23">
      <c r="A519" t="s">
        <v>1164</v>
      </c>
      <c r="B519" s="1">
        <v>45725</v>
      </c>
      <c r="C519" s="1">
        <v>45732</v>
      </c>
      <c r="D519" t="s">
        <v>309</v>
      </c>
      <c r="E519" t="s">
        <v>248</v>
      </c>
      <c r="F519" t="s">
        <v>23</v>
      </c>
      <c r="G519" t="s">
        <v>169</v>
      </c>
      <c r="H519" t="s">
        <v>157</v>
      </c>
      <c r="I519" t="s">
        <v>57</v>
      </c>
      <c r="J519" t="s">
        <v>27</v>
      </c>
      <c r="K519" t="s">
        <v>28</v>
      </c>
      <c r="L519" t="s">
        <v>29</v>
      </c>
      <c r="M519" t="s">
        <v>30</v>
      </c>
      <c r="N519">
        <v>1</v>
      </c>
      <c r="O519">
        <v>75700</v>
      </c>
      <c r="P519">
        <v>0.05</v>
      </c>
      <c r="Q519">
        <v>71915</v>
      </c>
      <c r="R519">
        <v>40185.519999999997</v>
      </c>
      <c r="S519">
        <v>31729.48</v>
      </c>
      <c r="T519" t="s">
        <v>31</v>
      </c>
      <c r="U519" t="str">
        <f t="shared" si="24"/>
        <v>2025-03</v>
      </c>
      <c r="V519">
        <f t="shared" si="25"/>
        <v>7</v>
      </c>
      <c r="W519" s="2">
        <f t="shared" si="26"/>
        <v>0.44120809288743656</v>
      </c>
    </row>
    <row r="520" spans="1:23">
      <c r="A520" t="s">
        <v>1165</v>
      </c>
      <c r="B520" s="1">
        <v>45694</v>
      </c>
      <c r="C520" s="1">
        <v>45700</v>
      </c>
      <c r="D520" t="s">
        <v>250</v>
      </c>
      <c r="E520" t="s">
        <v>1166</v>
      </c>
      <c r="F520" t="s">
        <v>23</v>
      </c>
      <c r="G520" t="s">
        <v>87</v>
      </c>
      <c r="H520" t="s">
        <v>88</v>
      </c>
      <c r="I520" t="s">
        <v>46</v>
      </c>
      <c r="J520" t="s">
        <v>27</v>
      </c>
      <c r="K520" t="s">
        <v>179</v>
      </c>
      <c r="L520" t="s">
        <v>180</v>
      </c>
      <c r="M520" t="s">
        <v>181</v>
      </c>
      <c r="N520">
        <v>8</v>
      </c>
      <c r="O520">
        <v>61200</v>
      </c>
      <c r="P520">
        <v>0.25</v>
      </c>
      <c r="Q520">
        <v>367200</v>
      </c>
      <c r="R520">
        <v>258758.77</v>
      </c>
      <c r="S520">
        <v>108441.23</v>
      </c>
      <c r="T520" t="s">
        <v>73</v>
      </c>
      <c r="U520" t="str">
        <f t="shared" si="24"/>
        <v>2025-02</v>
      </c>
      <c r="V520">
        <f t="shared" si="25"/>
        <v>6</v>
      </c>
      <c r="W520" s="2">
        <f t="shared" si="26"/>
        <v>0.29531925381263613</v>
      </c>
    </row>
    <row r="521" spans="1:23">
      <c r="A521" t="s">
        <v>1167</v>
      </c>
      <c r="B521" s="1">
        <v>44970</v>
      </c>
      <c r="C521" s="1">
        <v>44976</v>
      </c>
      <c r="D521" t="s">
        <v>462</v>
      </c>
      <c r="E521" t="s">
        <v>612</v>
      </c>
      <c r="F521" t="s">
        <v>35</v>
      </c>
      <c r="G521" t="s">
        <v>140</v>
      </c>
      <c r="H521" t="s">
        <v>141</v>
      </c>
      <c r="I521" t="s">
        <v>46</v>
      </c>
      <c r="J521" t="s">
        <v>27</v>
      </c>
      <c r="K521" t="s">
        <v>100</v>
      </c>
      <c r="L521" t="s">
        <v>101</v>
      </c>
      <c r="M521" t="s">
        <v>102</v>
      </c>
      <c r="N521">
        <v>1</v>
      </c>
      <c r="O521">
        <v>57100</v>
      </c>
      <c r="P521">
        <v>0.1</v>
      </c>
      <c r="Q521">
        <v>51390</v>
      </c>
      <c r="R521">
        <v>32695.119999999999</v>
      </c>
      <c r="S521">
        <v>18694.88</v>
      </c>
      <c r="T521" t="s">
        <v>73</v>
      </c>
      <c r="U521" t="str">
        <f t="shared" si="24"/>
        <v>2023-02</v>
      </c>
      <c r="V521">
        <f t="shared" si="25"/>
        <v>6</v>
      </c>
      <c r="W521" s="2">
        <f t="shared" si="26"/>
        <v>0.3637843938509438</v>
      </c>
    </row>
    <row r="522" spans="1:23">
      <c r="A522" t="s">
        <v>1168</v>
      </c>
      <c r="B522" s="1">
        <v>45411</v>
      </c>
      <c r="C522" s="1">
        <v>45418</v>
      </c>
      <c r="D522" t="s">
        <v>799</v>
      </c>
      <c r="E522" t="s">
        <v>995</v>
      </c>
      <c r="F522" t="s">
        <v>54</v>
      </c>
      <c r="G522" t="s">
        <v>169</v>
      </c>
      <c r="H522" t="s">
        <v>157</v>
      </c>
      <c r="I522" t="s">
        <v>57</v>
      </c>
      <c r="J522" t="s">
        <v>36</v>
      </c>
      <c r="K522" t="s">
        <v>81</v>
      </c>
      <c r="L522" t="s">
        <v>215</v>
      </c>
      <c r="M522" t="s">
        <v>216</v>
      </c>
      <c r="N522">
        <v>2</v>
      </c>
      <c r="O522">
        <v>1935500</v>
      </c>
      <c r="P522">
        <v>0.15</v>
      </c>
      <c r="Q522">
        <v>3290350</v>
      </c>
      <c r="R522">
        <v>2525900.6</v>
      </c>
      <c r="S522">
        <v>764449.4</v>
      </c>
      <c r="T522" t="s">
        <v>60</v>
      </c>
      <c r="U522" t="str">
        <f t="shared" si="24"/>
        <v>2024-04</v>
      </c>
      <c r="V522">
        <f t="shared" si="25"/>
        <v>7</v>
      </c>
      <c r="W522" s="2">
        <f t="shared" si="26"/>
        <v>0.23233072469494129</v>
      </c>
    </row>
    <row r="523" spans="1:23">
      <c r="A523" t="s">
        <v>1169</v>
      </c>
      <c r="B523" s="1">
        <v>45576</v>
      </c>
      <c r="C523" s="1">
        <v>45583</v>
      </c>
      <c r="D523" t="s">
        <v>1170</v>
      </c>
      <c r="E523" t="s">
        <v>34</v>
      </c>
      <c r="F523" t="s">
        <v>23</v>
      </c>
      <c r="G523" t="s">
        <v>140</v>
      </c>
      <c r="H523" t="s">
        <v>141</v>
      </c>
      <c r="I523" t="s">
        <v>46</v>
      </c>
      <c r="J523" t="s">
        <v>27</v>
      </c>
      <c r="K523" t="s">
        <v>116</v>
      </c>
      <c r="L523" t="s">
        <v>117</v>
      </c>
      <c r="M523" t="s">
        <v>118</v>
      </c>
      <c r="N523">
        <v>5</v>
      </c>
      <c r="O523">
        <v>29900</v>
      </c>
      <c r="P523">
        <v>0.05</v>
      </c>
      <c r="Q523">
        <v>142025</v>
      </c>
      <c r="R523">
        <v>73524.94</v>
      </c>
      <c r="S523">
        <v>68500.06</v>
      </c>
      <c r="T523" t="s">
        <v>31</v>
      </c>
      <c r="U523" t="str">
        <f t="shared" si="24"/>
        <v>2024-10</v>
      </c>
      <c r="V523">
        <f t="shared" si="25"/>
        <v>7</v>
      </c>
      <c r="W523" s="2">
        <f t="shared" si="26"/>
        <v>0.48230987502200318</v>
      </c>
    </row>
    <row r="524" spans="1:23">
      <c r="A524" t="s">
        <v>1171</v>
      </c>
      <c r="B524" s="1">
        <v>45132</v>
      </c>
      <c r="C524" s="1">
        <v>45139</v>
      </c>
      <c r="D524" t="s">
        <v>1172</v>
      </c>
      <c r="E524" t="s">
        <v>993</v>
      </c>
      <c r="F524" t="s">
        <v>23</v>
      </c>
      <c r="G524" t="s">
        <v>87</v>
      </c>
      <c r="H524" t="s">
        <v>88</v>
      </c>
      <c r="I524" t="s">
        <v>46</v>
      </c>
      <c r="J524" t="s">
        <v>47</v>
      </c>
      <c r="K524" t="s">
        <v>48</v>
      </c>
      <c r="L524" t="s">
        <v>66</v>
      </c>
      <c r="M524" t="s">
        <v>67</v>
      </c>
      <c r="N524">
        <v>3</v>
      </c>
      <c r="O524">
        <v>134900</v>
      </c>
      <c r="P524">
        <v>0.15</v>
      </c>
      <c r="Q524">
        <v>343995</v>
      </c>
      <c r="R524">
        <v>236820.7</v>
      </c>
      <c r="S524">
        <v>107174.3</v>
      </c>
      <c r="T524" t="s">
        <v>40</v>
      </c>
      <c r="U524" t="str">
        <f t="shared" si="24"/>
        <v>2023-07</v>
      </c>
      <c r="V524">
        <f t="shared" si="25"/>
        <v>7</v>
      </c>
      <c r="W524" s="2">
        <f t="shared" si="26"/>
        <v>0.31155772612974025</v>
      </c>
    </row>
    <row r="525" spans="1:23">
      <c r="A525" t="s">
        <v>1173</v>
      </c>
      <c r="B525" s="1">
        <v>45303</v>
      </c>
      <c r="C525" s="1">
        <v>45309</v>
      </c>
      <c r="D525" t="s">
        <v>773</v>
      </c>
      <c r="E525" t="s">
        <v>436</v>
      </c>
      <c r="F525" t="s">
        <v>23</v>
      </c>
      <c r="G525" t="s">
        <v>80</v>
      </c>
      <c r="H525" t="s">
        <v>45</v>
      </c>
      <c r="I525" t="s">
        <v>46</v>
      </c>
      <c r="J525" t="s">
        <v>36</v>
      </c>
      <c r="K525" t="s">
        <v>37</v>
      </c>
      <c r="L525" t="s">
        <v>58</v>
      </c>
      <c r="M525" t="s">
        <v>59</v>
      </c>
      <c r="N525">
        <v>3</v>
      </c>
      <c r="O525">
        <v>843000</v>
      </c>
      <c r="P525">
        <v>0</v>
      </c>
      <c r="Q525">
        <v>2529000</v>
      </c>
      <c r="R525">
        <v>1595384.23</v>
      </c>
      <c r="S525">
        <v>933615.77</v>
      </c>
      <c r="T525" t="s">
        <v>73</v>
      </c>
      <c r="U525" t="str">
        <f t="shared" si="24"/>
        <v>2024-01</v>
      </c>
      <c r="V525">
        <f t="shared" si="25"/>
        <v>6</v>
      </c>
      <c r="W525" s="2">
        <f t="shared" si="26"/>
        <v>0.36916400553578488</v>
      </c>
    </row>
    <row r="526" spans="1:23">
      <c r="A526" t="s">
        <v>1174</v>
      </c>
      <c r="B526" s="1">
        <v>45767</v>
      </c>
      <c r="C526" s="1">
        <v>45774</v>
      </c>
      <c r="D526" t="s">
        <v>269</v>
      </c>
      <c r="E526" t="s">
        <v>714</v>
      </c>
      <c r="F526" t="s">
        <v>54</v>
      </c>
      <c r="G526" t="s">
        <v>64</v>
      </c>
      <c r="H526" t="s">
        <v>65</v>
      </c>
      <c r="I526" t="s">
        <v>57</v>
      </c>
      <c r="J526" t="s">
        <v>27</v>
      </c>
      <c r="K526" t="s">
        <v>116</v>
      </c>
      <c r="L526" t="s">
        <v>207</v>
      </c>
      <c r="M526" t="s">
        <v>208</v>
      </c>
      <c r="N526">
        <v>1</v>
      </c>
      <c r="O526">
        <v>120900</v>
      </c>
      <c r="P526">
        <v>0.2</v>
      </c>
      <c r="Q526">
        <v>96720</v>
      </c>
      <c r="R526">
        <v>72630.080000000002</v>
      </c>
      <c r="S526">
        <v>24089.919999999998</v>
      </c>
      <c r="T526" t="s">
        <v>73</v>
      </c>
      <c r="U526" t="str">
        <f t="shared" si="24"/>
        <v>2025-04</v>
      </c>
      <c r="V526">
        <f t="shared" si="25"/>
        <v>7</v>
      </c>
      <c r="W526" s="2">
        <f t="shared" si="26"/>
        <v>0.24906865177832918</v>
      </c>
    </row>
    <row r="527" spans="1:23">
      <c r="A527" t="s">
        <v>1175</v>
      </c>
      <c r="B527" s="1">
        <v>45679</v>
      </c>
      <c r="C527" s="1">
        <v>45681</v>
      </c>
      <c r="D527" t="s">
        <v>284</v>
      </c>
      <c r="E527" t="s">
        <v>1176</v>
      </c>
      <c r="F527" t="s">
        <v>23</v>
      </c>
      <c r="G527" t="s">
        <v>55</v>
      </c>
      <c r="H527" t="s">
        <v>56</v>
      </c>
      <c r="I527" t="s">
        <v>57</v>
      </c>
      <c r="J527" t="s">
        <v>36</v>
      </c>
      <c r="K527" t="s">
        <v>89</v>
      </c>
      <c r="L527" t="s">
        <v>90</v>
      </c>
      <c r="M527" t="s">
        <v>91</v>
      </c>
      <c r="N527">
        <v>6</v>
      </c>
      <c r="O527">
        <v>3283400</v>
      </c>
      <c r="P527">
        <v>0.1</v>
      </c>
      <c r="Q527">
        <v>17730360</v>
      </c>
      <c r="R527">
        <v>14726499.65</v>
      </c>
      <c r="S527">
        <v>3003860.35</v>
      </c>
      <c r="T527" t="s">
        <v>31</v>
      </c>
      <c r="U527" t="str">
        <f t="shared" si="24"/>
        <v>2025-01</v>
      </c>
      <c r="V527">
        <f t="shared" si="25"/>
        <v>2</v>
      </c>
      <c r="W527" s="2">
        <f t="shared" si="26"/>
        <v>0.16941902758883634</v>
      </c>
    </row>
    <row r="528" spans="1:23">
      <c r="A528" t="s">
        <v>1177</v>
      </c>
      <c r="B528" s="1">
        <v>45272</v>
      </c>
      <c r="C528" s="1">
        <v>45273</v>
      </c>
      <c r="D528" t="s">
        <v>177</v>
      </c>
      <c r="E528" t="s">
        <v>789</v>
      </c>
      <c r="F528" t="s">
        <v>23</v>
      </c>
      <c r="G528" t="s">
        <v>55</v>
      </c>
      <c r="H528" t="s">
        <v>56</v>
      </c>
      <c r="I528" t="s">
        <v>57</v>
      </c>
      <c r="J528" t="s">
        <v>36</v>
      </c>
      <c r="K528" t="s">
        <v>89</v>
      </c>
      <c r="L528" t="s">
        <v>90</v>
      </c>
      <c r="M528" t="s">
        <v>91</v>
      </c>
      <c r="N528">
        <v>8</v>
      </c>
      <c r="O528">
        <v>2952900</v>
      </c>
      <c r="P528">
        <v>0.1</v>
      </c>
      <c r="Q528">
        <v>21260880</v>
      </c>
      <c r="R528">
        <v>15739770.970000001</v>
      </c>
      <c r="S528">
        <v>5521109.0300000003</v>
      </c>
      <c r="T528" t="s">
        <v>31</v>
      </c>
      <c r="U528" t="str">
        <f t="shared" si="24"/>
        <v>2023-12</v>
      </c>
      <c r="V528">
        <f t="shared" si="25"/>
        <v>1</v>
      </c>
      <c r="W528" s="2">
        <f t="shared" si="26"/>
        <v>0.25968393735348677</v>
      </c>
    </row>
    <row r="529" spans="1:23">
      <c r="A529" t="s">
        <v>1178</v>
      </c>
      <c r="B529" s="1">
        <v>45856</v>
      </c>
      <c r="C529" s="1">
        <v>45863</v>
      </c>
      <c r="D529" t="s">
        <v>964</v>
      </c>
      <c r="E529" t="s">
        <v>858</v>
      </c>
      <c r="F529" t="s">
        <v>35</v>
      </c>
      <c r="G529" t="s">
        <v>24</v>
      </c>
      <c r="H529" t="s">
        <v>25</v>
      </c>
      <c r="I529" t="s">
        <v>26</v>
      </c>
      <c r="J529" t="s">
        <v>27</v>
      </c>
      <c r="K529" t="s">
        <v>100</v>
      </c>
      <c r="L529" t="s">
        <v>105</v>
      </c>
      <c r="M529" t="s">
        <v>106</v>
      </c>
      <c r="N529">
        <v>8</v>
      </c>
      <c r="O529">
        <v>82000</v>
      </c>
      <c r="P529">
        <v>0</v>
      </c>
      <c r="Q529">
        <v>656000</v>
      </c>
      <c r="R529">
        <v>398376.86</v>
      </c>
      <c r="S529">
        <v>257623.14</v>
      </c>
      <c r="T529" t="s">
        <v>73</v>
      </c>
      <c r="U529" t="str">
        <f t="shared" si="24"/>
        <v>2025-07</v>
      </c>
      <c r="V529">
        <f t="shared" si="25"/>
        <v>7</v>
      </c>
      <c r="W529" s="2">
        <f t="shared" si="26"/>
        <v>0.39271820121951223</v>
      </c>
    </row>
    <row r="530" spans="1:23">
      <c r="A530" t="s">
        <v>1179</v>
      </c>
      <c r="B530" s="1">
        <v>45350</v>
      </c>
      <c r="C530" s="1">
        <v>45355</v>
      </c>
      <c r="D530" t="s">
        <v>567</v>
      </c>
      <c r="E530" t="s">
        <v>1180</v>
      </c>
      <c r="F530" t="s">
        <v>23</v>
      </c>
      <c r="G530" t="s">
        <v>24</v>
      </c>
      <c r="H530" t="s">
        <v>25</v>
      </c>
      <c r="I530" t="s">
        <v>26</v>
      </c>
      <c r="J530" t="s">
        <v>47</v>
      </c>
      <c r="K530" t="s">
        <v>48</v>
      </c>
      <c r="L530" t="s">
        <v>66</v>
      </c>
      <c r="M530" t="s">
        <v>67</v>
      </c>
      <c r="N530">
        <v>4</v>
      </c>
      <c r="O530">
        <v>113300</v>
      </c>
      <c r="P530">
        <v>0.3</v>
      </c>
      <c r="Q530">
        <v>317240</v>
      </c>
      <c r="R530">
        <v>257760.05</v>
      </c>
      <c r="S530">
        <v>59479.95</v>
      </c>
      <c r="T530" t="s">
        <v>40</v>
      </c>
      <c r="U530" t="str">
        <f t="shared" si="24"/>
        <v>2024-02</v>
      </c>
      <c r="V530">
        <f t="shared" si="25"/>
        <v>5</v>
      </c>
      <c r="W530" s="2">
        <f t="shared" si="26"/>
        <v>0.18749196192157355</v>
      </c>
    </row>
    <row r="531" spans="1:23">
      <c r="A531" t="s">
        <v>1181</v>
      </c>
      <c r="B531" s="1">
        <v>45684</v>
      </c>
      <c r="C531" s="1">
        <v>45689</v>
      </c>
      <c r="D531" t="s">
        <v>299</v>
      </c>
      <c r="E531" t="s">
        <v>34</v>
      </c>
      <c r="F531" t="s">
        <v>23</v>
      </c>
      <c r="G531" t="s">
        <v>44</v>
      </c>
      <c r="H531" t="s">
        <v>45</v>
      </c>
      <c r="I531" t="s">
        <v>46</v>
      </c>
      <c r="J531" t="s">
        <v>27</v>
      </c>
      <c r="K531" t="s">
        <v>116</v>
      </c>
      <c r="L531" t="s">
        <v>207</v>
      </c>
      <c r="M531" t="s">
        <v>208</v>
      </c>
      <c r="N531">
        <v>5</v>
      </c>
      <c r="O531">
        <v>128200</v>
      </c>
      <c r="P531">
        <v>0.05</v>
      </c>
      <c r="Q531">
        <v>608950</v>
      </c>
      <c r="R531">
        <v>357181.44</v>
      </c>
      <c r="S531">
        <v>251768.56</v>
      </c>
      <c r="T531" t="s">
        <v>73</v>
      </c>
      <c r="U531" t="str">
        <f t="shared" si="24"/>
        <v>2025-01</v>
      </c>
      <c r="V531">
        <f t="shared" si="25"/>
        <v>5</v>
      </c>
      <c r="W531" s="2">
        <f t="shared" si="26"/>
        <v>0.4134470153542984</v>
      </c>
    </row>
    <row r="532" spans="1:23">
      <c r="A532" t="s">
        <v>1182</v>
      </c>
      <c r="B532" s="1">
        <v>45451</v>
      </c>
      <c r="C532" s="1">
        <v>45452</v>
      </c>
      <c r="D532" t="s">
        <v>545</v>
      </c>
      <c r="E532" t="s">
        <v>575</v>
      </c>
      <c r="F532" t="s">
        <v>23</v>
      </c>
      <c r="G532" t="s">
        <v>140</v>
      </c>
      <c r="H532" t="s">
        <v>141</v>
      </c>
      <c r="I532" t="s">
        <v>46</v>
      </c>
      <c r="J532" t="s">
        <v>47</v>
      </c>
      <c r="K532" t="s">
        <v>142</v>
      </c>
      <c r="L532" t="s">
        <v>158</v>
      </c>
      <c r="M532" t="s">
        <v>159</v>
      </c>
      <c r="N532">
        <v>2</v>
      </c>
      <c r="O532">
        <v>8019200</v>
      </c>
      <c r="P532">
        <v>0.1</v>
      </c>
      <c r="Q532">
        <v>14434560</v>
      </c>
      <c r="R532">
        <v>12975358.5</v>
      </c>
      <c r="S532">
        <v>1459201.5</v>
      </c>
      <c r="T532" t="s">
        <v>73</v>
      </c>
      <c r="U532" t="str">
        <f t="shared" si="24"/>
        <v>2024-06</v>
      </c>
      <c r="V532">
        <f t="shared" si="25"/>
        <v>1</v>
      </c>
      <c r="W532" s="2">
        <f t="shared" si="26"/>
        <v>0.1010908195331205</v>
      </c>
    </row>
    <row r="533" spans="1:23">
      <c r="A533" t="s">
        <v>1183</v>
      </c>
      <c r="B533" s="1">
        <v>45960</v>
      </c>
      <c r="C533" s="1">
        <v>45965</v>
      </c>
      <c r="D533" t="s">
        <v>1184</v>
      </c>
      <c r="E533" t="s">
        <v>470</v>
      </c>
      <c r="F533" t="s">
        <v>23</v>
      </c>
      <c r="G533" t="s">
        <v>156</v>
      </c>
      <c r="H533" t="s">
        <v>157</v>
      </c>
      <c r="I533" t="s">
        <v>57</v>
      </c>
      <c r="J533" t="s">
        <v>36</v>
      </c>
      <c r="K533" t="s">
        <v>89</v>
      </c>
      <c r="L533" t="s">
        <v>90</v>
      </c>
      <c r="M533" t="s">
        <v>91</v>
      </c>
      <c r="N533">
        <v>3</v>
      </c>
      <c r="O533">
        <v>3015400</v>
      </c>
      <c r="P533">
        <v>0.05</v>
      </c>
      <c r="Q533">
        <v>8593890</v>
      </c>
      <c r="R533">
        <v>6781572.0499999998</v>
      </c>
      <c r="S533">
        <v>1812317.95</v>
      </c>
      <c r="T533" t="s">
        <v>31</v>
      </c>
      <c r="U533" t="str">
        <f t="shared" si="24"/>
        <v>2025-10</v>
      </c>
      <c r="V533">
        <f t="shared" si="25"/>
        <v>5</v>
      </c>
      <c r="W533" s="2">
        <f t="shared" si="26"/>
        <v>0.2108844714093385</v>
      </c>
    </row>
    <row r="534" spans="1:23">
      <c r="A534" t="s">
        <v>1185</v>
      </c>
      <c r="B534" s="1">
        <v>45576</v>
      </c>
      <c r="C534" s="1">
        <v>45582</v>
      </c>
      <c r="D534" t="s">
        <v>958</v>
      </c>
      <c r="E534" t="s">
        <v>1186</v>
      </c>
      <c r="F534" t="s">
        <v>23</v>
      </c>
      <c r="G534" t="s">
        <v>95</v>
      </c>
      <c r="H534" t="s">
        <v>96</v>
      </c>
      <c r="I534" t="s">
        <v>26</v>
      </c>
      <c r="J534" t="s">
        <v>36</v>
      </c>
      <c r="K534" t="s">
        <v>81</v>
      </c>
      <c r="L534" t="s">
        <v>82</v>
      </c>
      <c r="M534" t="s">
        <v>83</v>
      </c>
      <c r="N534">
        <v>10</v>
      </c>
      <c r="O534">
        <v>656400</v>
      </c>
      <c r="P534">
        <v>0.3</v>
      </c>
      <c r="Q534">
        <v>4594800</v>
      </c>
      <c r="R534">
        <v>4144373.42</v>
      </c>
      <c r="S534">
        <v>450426.58</v>
      </c>
      <c r="T534" t="s">
        <v>31</v>
      </c>
      <c r="U534" t="str">
        <f t="shared" si="24"/>
        <v>2024-10</v>
      </c>
      <c r="V534">
        <f t="shared" si="25"/>
        <v>6</v>
      </c>
      <c r="W534" s="2">
        <f t="shared" si="26"/>
        <v>9.8029637851484289E-2</v>
      </c>
    </row>
    <row r="535" spans="1:23">
      <c r="A535" t="s">
        <v>1187</v>
      </c>
      <c r="B535" s="1">
        <v>45506</v>
      </c>
      <c r="C535" s="1">
        <v>45509</v>
      </c>
      <c r="D535" t="s">
        <v>1188</v>
      </c>
      <c r="E535" t="s">
        <v>99</v>
      </c>
      <c r="F535" t="s">
        <v>23</v>
      </c>
      <c r="G535" t="s">
        <v>87</v>
      </c>
      <c r="H535" t="s">
        <v>88</v>
      </c>
      <c r="I535" t="s">
        <v>46</v>
      </c>
      <c r="J535" t="s">
        <v>36</v>
      </c>
      <c r="K535" t="s">
        <v>89</v>
      </c>
      <c r="L535" t="s">
        <v>151</v>
      </c>
      <c r="M535" t="s">
        <v>152</v>
      </c>
      <c r="N535">
        <v>2</v>
      </c>
      <c r="O535">
        <v>1398500</v>
      </c>
      <c r="P535">
        <v>0.15</v>
      </c>
      <c r="Q535">
        <v>2377450</v>
      </c>
      <c r="R535">
        <v>1817141.42</v>
      </c>
      <c r="S535">
        <v>560308.57999999996</v>
      </c>
      <c r="T535" t="s">
        <v>73</v>
      </c>
      <c r="U535" t="str">
        <f t="shared" si="24"/>
        <v>2024-08</v>
      </c>
      <c r="V535">
        <f t="shared" si="25"/>
        <v>3</v>
      </c>
      <c r="W535" s="2">
        <f t="shared" si="26"/>
        <v>0.23567628341290037</v>
      </c>
    </row>
    <row r="536" spans="1:23">
      <c r="A536" t="s">
        <v>1189</v>
      </c>
      <c r="B536" s="1">
        <v>45231</v>
      </c>
      <c r="C536" s="1">
        <v>45232</v>
      </c>
      <c r="D536" t="s">
        <v>421</v>
      </c>
      <c r="E536" t="s">
        <v>1190</v>
      </c>
      <c r="F536" t="s">
        <v>23</v>
      </c>
      <c r="G536" t="s">
        <v>64</v>
      </c>
      <c r="H536" t="s">
        <v>65</v>
      </c>
      <c r="I536" t="s">
        <v>57</v>
      </c>
      <c r="J536" t="s">
        <v>47</v>
      </c>
      <c r="K536" t="s">
        <v>142</v>
      </c>
      <c r="L536" t="s">
        <v>158</v>
      </c>
      <c r="M536" t="s">
        <v>159</v>
      </c>
      <c r="N536">
        <v>2</v>
      </c>
      <c r="O536">
        <v>9175300</v>
      </c>
      <c r="P536">
        <v>0.25</v>
      </c>
      <c r="Q536">
        <v>13762950</v>
      </c>
      <c r="R536">
        <v>13673697.810000001</v>
      </c>
      <c r="S536">
        <v>89252.19</v>
      </c>
      <c r="T536" t="s">
        <v>40</v>
      </c>
      <c r="U536" t="str">
        <f t="shared" si="24"/>
        <v>2023-11</v>
      </c>
      <c r="V536">
        <f t="shared" si="25"/>
        <v>1</v>
      </c>
      <c r="W536" s="2">
        <f t="shared" si="26"/>
        <v>6.4849607097315623E-3</v>
      </c>
    </row>
    <row r="537" spans="1:23">
      <c r="A537" t="s">
        <v>1191</v>
      </c>
      <c r="B537" s="1">
        <v>45920</v>
      </c>
      <c r="C537" s="1">
        <v>45924</v>
      </c>
      <c r="D537" t="s">
        <v>360</v>
      </c>
      <c r="E537" t="s">
        <v>708</v>
      </c>
      <c r="F537" t="s">
        <v>23</v>
      </c>
      <c r="G537" t="s">
        <v>80</v>
      </c>
      <c r="H537" t="s">
        <v>45</v>
      </c>
      <c r="I537" t="s">
        <v>46</v>
      </c>
      <c r="J537" t="s">
        <v>36</v>
      </c>
      <c r="K537" t="s">
        <v>37</v>
      </c>
      <c r="L537" t="s">
        <v>58</v>
      </c>
      <c r="M537" t="s">
        <v>59</v>
      </c>
      <c r="N537">
        <v>1</v>
      </c>
      <c r="O537">
        <v>837400</v>
      </c>
      <c r="P537">
        <v>0.2</v>
      </c>
      <c r="Q537">
        <v>669920</v>
      </c>
      <c r="R537">
        <v>570160.24</v>
      </c>
      <c r="S537">
        <v>99759.76</v>
      </c>
      <c r="T537" t="s">
        <v>31</v>
      </c>
      <c r="U537" t="str">
        <f t="shared" si="24"/>
        <v>2025-09</v>
      </c>
      <c r="V537">
        <f t="shared" si="25"/>
        <v>4</v>
      </c>
      <c r="W537" s="2">
        <f t="shared" si="26"/>
        <v>0.14891294482923334</v>
      </c>
    </row>
    <row r="538" spans="1:23">
      <c r="A538" t="s">
        <v>1192</v>
      </c>
      <c r="B538" s="1">
        <v>45361</v>
      </c>
      <c r="C538" s="1">
        <v>45366</v>
      </c>
      <c r="D538" t="s">
        <v>1193</v>
      </c>
      <c r="E538" t="s">
        <v>575</v>
      </c>
      <c r="F538" t="s">
        <v>35</v>
      </c>
      <c r="G538" t="s">
        <v>87</v>
      </c>
      <c r="H538" t="s">
        <v>88</v>
      </c>
      <c r="I538" t="s">
        <v>46</v>
      </c>
      <c r="J538" t="s">
        <v>27</v>
      </c>
      <c r="K538" t="s">
        <v>100</v>
      </c>
      <c r="L538" t="s">
        <v>101</v>
      </c>
      <c r="M538" t="s">
        <v>102</v>
      </c>
      <c r="N538">
        <v>2</v>
      </c>
      <c r="O538">
        <v>53200</v>
      </c>
      <c r="P538">
        <v>0.15</v>
      </c>
      <c r="Q538">
        <v>90440</v>
      </c>
      <c r="R538">
        <v>60743.65</v>
      </c>
      <c r="S538">
        <v>29696.35</v>
      </c>
      <c r="T538" t="s">
        <v>73</v>
      </c>
      <c r="U538" t="str">
        <f t="shared" si="24"/>
        <v>2024-03</v>
      </c>
      <c r="V538">
        <f t="shared" si="25"/>
        <v>5</v>
      </c>
      <c r="W538" s="2">
        <f t="shared" si="26"/>
        <v>0.32835415745245466</v>
      </c>
    </row>
    <row r="539" spans="1:23">
      <c r="A539" t="s">
        <v>1194</v>
      </c>
      <c r="B539" s="1">
        <v>45176</v>
      </c>
      <c r="C539" s="1">
        <v>45180</v>
      </c>
      <c r="D539" t="s">
        <v>239</v>
      </c>
      <c r="E539" t="s">
        <v>63</v>
      </c>
      <c r="F539" t="s">
        <v>23</v>
      </c>
      <c r="G539" t="s">
        <v>156</v>
      </c>
      <c r="H539" t="s">
        <v>157</v>
      </c>
      <c r="I539" t="s">
        <v>57</v>
      </c>
      <c r="J539" t="s">
        <v>36</v>
      </c>
      <c r="K539" t="s">
        <v>81</v>
      </c>
      <c r="L539" t="s">
        <v>215</v>
      </c>
      <c r="M539" t="s">
        <v>216</v>
      </c>
      <c r="N539">
        <v>2</v>
      </c>
      <c r="O539">
        <v>1847500</v>
      </c>
      <c r="P539">
        <v>0.05</v>
      </c>
      <c r="Q539">
        <v>3510250</v>
      </c>
      <c r="R539">
        <v>2515973.5699999998</v>
      </c>
      <c r="S539">
        <v>994276.43</v>
      </c>
      <c r="T539" t="s">
        <v>31</v>
      </c>
      <c r="U539" t="str">
        <f t="shared" si="24"/>
        <v>2023-09</v>
      </c>
      <c r="V539">
        <f t="shared" si="25"/>
        <v>4</v>
      </c>
      <c r="W539" s="2">
        <f t="shared" si="26"/>
        <v>0.28324946371341075</v>
      </c>
    </row>
    <row r="540" spans="1:23">
      <c r="A540" t="s">
        <v>1195</v>
      </c>
      <c r="B540" s="1">
        <v>44938</v>
      </c>
      <c r="C540" s="1">
        <v>44941</v>
      </c>
      <c r="D540" t="s">
        <v>309</v>
      </c>
      <c r="E540" t="s">
        <v>1196</v>
      </c>
      <c r="F540" t="s">
        <v>54</v>
      </c>
      <c r="G540" t="s">
        <v>156</v>
      </c>
      <c r="H540" t="s">
        <v>157</v>
      </c>
      <c r="I540" t="s">
        <v>57</v>
      </c>
      <c r="J540" t="s">
        <v>27</v>
      </c>
      <c r="K540" t="s">
        <v>116</v>
      </c>
      <c r="L540" t="s">
        <v>207</v>
      </c>
      <c r="M540" t="s">
        <v>208</v>
      </c>
      <c r="N540">
        <v>1</v>
      </c>
      <c r="O540">
        <v>104700</v>
      </c>
      <c r="P540">
        <v>0.1</v>
      </c>
      <c r="Q540">
        <v>94230</v>
      </c>
      <c r="R540">
        <v>59202.3</v>
      </c>
      <c r="S540">
        <v>35027.699999999997</v>
      </c>
      <c r="T540" t="s">
        <v>73</v>
      </c>
      <c r="U540" t="str">
        <f t="shared" si="24"/>
        <v>2023-01</v>
      </c>
      <c r="V540">
        <f t="shared" si="25"/>
        <v>3</v>
      </c>
      <c r="W540" s="2">
        <f t="shared" si="26"/>
        <v>0.37172556510665389</v>
      </c>
    </row>
    <row r="541" spans="1:23">
      <c r="A541" t="s">
        <v>1197</v>
      </c>
      <c r="B541" s="1">
        <v>45708</v>
      </c>
      <c r="C541" s="1">
        <v>45709</v>
      </c>
      <c r="D541" t="s">
        <v>257</v>
      </c>
      <c r="E541" t="s">
        <v>1198</v>
      </c>
      <c r="F541" t="s">
        <v>54</v>
      </c>
      <c r="G541" t="s">
        <v>24</v>
      </c>
      <c r="H541" t="s">
        <v>25</v>
      </c>
      <c r="I541" t="s">
        <v>26</v>
      </c>
      <c r="J541" t="s">
        <v>36</v>
      </c>
      <c r="K541" t="s">
        <v>81</v>
      </c>
      <c r="L541" t="s">
        <v>82</v>
      </c>
      <c r="M541" t="s">
        <v>83</v>
      </c>
      <c r="N541">
        <v>1</v>
      </c>
      <c r="O541">
        <v>706900</v>
      </c>
      <c r="P541">
        <v>0</v>
      </c>
      <c r="Q541">
        <v>706900</v>
      </c>
      <c r="R541">
        <v>475640.34</v>
      </c>
      <c r="S541">
        <v>231259.66</v>
      </c>
      <c r="T541" t="s">
        <v>40</v>
      </c>
      <c r="U541" t="str">
        <f t="shared" si="24"/>
        <v>2025-02</v>
      </c>
      <c r="V541">
        <f t="shared" si="25"/>
        <v>1</v>
      </c>
      <c r="W541" s="2">
        <f t="shared" si="26"/>
        <v>0.32714621587211773</v>
      </c>
    </row>
    <row r="542" spans="1:23">
      <c r="A542" t="s">
        <v>1199</v>
      </c>
      <c r="B542" s="1">
        <v>45242</v>
      </c>
      <c r="C542" s="1">
        <v>45243</v>
      </c>
      <c r="D542" t="s">
        <v>812</v>
      </c>
      <c r="E542" t="s">
        <v>1200</v>
      </c>
      <c r="F542" t="s">
        <v>54</v>
      </c>
      <c r="G542" t="s">
        <v>95</v>
      </c>
      <c r="H542" t="s">
        <v>96</v>
      </c>
      <c r="I542" t="s">
        <v>26</v>
      </c>
      <c r="J542" t="s">
        <v>47</v>
      </c>
      <c r="K542" t="s">
        <v>48</v>
      </c>
      <c r="L542" t="s">
        <v>225</v>
      </c>
      <c r="M542" t="s">
        <v>226</v>
      </c>
      <c r="N542">
        <v>2</v>
      </c>
      <c r="O542">
        <v>211900</v>
      </c>
      <c r="P542">
        <v>0.05</v>
      </c>
      <c r="Q542">
        <v>402610</v>
      </c>
      <c r="R542">
        <v>248173.02</v>
      </c>
      <c r="S542">
        <v>154436.98000000001</v>
      </c>
      <c r="T542" t="s">
        <v>73</v>
      </c>
      <c r="U542" t="str">
        <f t="shared" si="24"/>
        <v>2023-11</v>
      </c>
      <c r="V542">
        <f t="shared" si="25"/>
        <v>1</v>
      </c>
      <c r="W542" s="2">
        <f t="shared" si="26"/>
        <v>0.38358952832766202</v>
      </c>
    </row>
    <row r="543" spans="1:23">
      <c r="A543" t="s">
        <v>1201</v>
      </c>
      <c r="B543" s="1">
        <v>45902</v>
      </c>
      <c r="C543" s="1">
        <v>45905</v>
      </c>
      <c r="D543" t="s">
        <v>85</v>
      </c>
      <c r="E543" t="s">
        <v>1202</v>
      </c>
      <c r="F543" t="s">
        <v>35</v>
      </c>
      <c r="G543" t="s">
        <v>44</v>
      </c>
      <c r="H543" t="s">
        <v>45</v>
      </c>
      <c r="I543" t="s">
        <v>46</v>
      </c>
      <c r="J543" t="s">
        <v>36</v>
      </c>
      <c r="K543" t="s">
        <v>89</v>
      </c>
      <c r="L543" t="s">
        <v>90</v>
      </c>
      <c r="M543" t="s">
        <v>91</v>
      </c>
      <c r="N543">
        <v>3</v>
      </c>
      <c r="O543">
        <v>3135800</v>
      </c>
      <c r="P543">
        <v>0.05</v>
      </c>
      <c r="Q543">
        <v>8937030</v>
      </c>
      <c r="R543">
        <v>6290538.9699999997</v>
      </c>
      <c r="S543">
        <v>2646491.0299999998</v>
      </c>
      <c r="T543" t="s">
        <v>60</v>
      </c>
      <c r="U543" t="str">
        <f t="shared" si="24"/>
        <v>2025-09</v>
      </c>
      <c r="V543">
        <f t="shared" si="25"/>
        <v>3</v>
      </c>
      <c r="W543" s="2">
        <f t="shared" si="26"/>
        <v>0.29612645699969675</v>
      </c>
    </row>
    <row r="544" spans="1:23">
      <c r="A544" t="s">
        <v>1203</v>
      </c>
      <c r="B544" s="1">
        <v>45386</v>
      </c>
      <c r="C544" s="1">
        <v>45392</v>
      </c>
      <c r="D544" t="s">
        <v>413</v>
      </c>
      <c r="E544" t="s">
        <v>136</v>
      </c>
      <c r="F544" t="s">
        <v>35</v>
      </c>
      <c r="G544" t="s">
        <v>64</v>
      </c>
      <c r="H544" t="s">
        <v>65</v>
      </c>
      <c r="I544" t="s">
        <v>57</v>
      </c>
      <c r="J544" t="s">
        <v>27</v>
      </c>
      <c r="K544" t="s">
        <v>28</v>
      </c>
      <c r="L544" t="s">
        <v>71</v>
      </c>
      <c r="M544" t="s">
        <v>72</v>
      </c>
      <c r="N544">
        <v>1</v>
      </c>
      <c r="O544">
        <v>44800</v>
      </c>
      <c r="P544">
        <v>0.2</v>
      </c>
      <c r="Q544">
        <v>35840</v>
      </c>
      <c r="R544">
        <v>23577.64</v>
      </c>
      <c r="S544">
        <v>12262.36</v>
      </c>
      <c r="T544" t="s">
        <v>31</v>
      </c>
      <c r="U544" t="str">
        <f t="shared" si="24"/>
        <v>2024-04</v>
      </c>
      <c r="V544">
        <f t="shared" si="25"/>
        <v>6</v>
      </c>
      <c r="W544" s="2">
        <f t="shared" si="26"/>
        <v>0.34214174107142858</v>
      </c>
    </row>
    <row r="545" spans="1:23">
      <c r="A545" t="s">
        <v>1204</v>
      </c>
      <c r="B545" s="1">
        <v>45542</v>
      </c>
      <c r="C545" s="1">
        <v>45549</v>
      </c>
      <c r="D545" t="s">
        <v>198</v>
      </c>
      <c r="E545" t="s">
        <v>1205</v>
      </c>
      <c r="F545" t="s">
        <v>35</v>
      </c>
      <c r="G545" t="s">
        <v>95</v>
      </c>
      <c r="H545" t="s">
        <v>96</v>
      </c>
      <c r="I545" t="s">
        <v>26</v>
      </c>
      <c r="J545" t="s">
        <v>47</v>
      </c>
      <c r="K545" t="s">
        <v>48</v>
      </c>
      <c r="L545" t="s">
        <v>225</v>
      </c>
      <c r="M545" t="s">
        <v>226</v>
      </c>
      <c r="N545">
        <v>6</v>
      </c>
      <c r="O545">
        <v>233000</v>
      </c>
      <c r="P545">
        <v>0.05</v>
      </c>
      <c r="Q545">
        <v>1328100</v>
      </c>
      <c r="R545">
        <v>841897.29</v>
      </c>
      <c r="S545">
        <v>486202.71</v>
      </c>
      <c r="T545" t="s">
        <v>31</v>
      </c>
      <c r="U545" t="str">
        <f t="shared" si="24"/>
        <v>2024-09</v>
      </c>
      <c r="V545">
        <f t="shared" si="25"/>
        <v>7</v>
      </c>
      <c r="W545" s="2">
        <f t="shared" si="26"/>
        <v>0.36608893155635874</v>
      </c>
    </row>
    <row r="546" spans="1:23">
      <c r="A546" t="s">
        <v>1206</v>
      </c>
      <c r="B546" s="1">
        <v>45445</v>
      </c>
      <c r="C546" s="1">
        <v>45448</v>
      </c>
      <c r="D546" t="s">
        <v>604</v>
      </c>
      <c r="E546" t="s">
        <v>306</v>
      </c>
      <c r="F546" t="s">
        <v>23</v>
      </c>
      <c r="G546" t="s">
        <v>87</v>
      </c>
      <c r="H546" t="s">
        <v>88</v>
      </c>
      <c r="I546" t="s">
        <v>46</v>
      </c>
      <c r="J546" t="s">
        <v>47</v>
      </c>
      <c r="K546" t="s">
        <v>142</v>
      </c>
      <c r="L546" t="s">
        <v>143</v>
      </c>
      <c r="M546" t="s">
        <v>144</v>
      </c>
      <c r="N546">
        <v>1</v>
      </c>
      <c r="O546">
        <v>5734500</v>
      </c>
      <c r="P546">
        <v>0.05</v>
      </c>
      <c r="Q546">
        <v>5447775</v>
      </c>
      <c r="R546">
        <v>4407893.49</v>
      </c>
      <c r="S546">
        <v>1039881.51</v>
      </c>
      <c r="T546" t="s">
        <v>40</v>
      </c>
      <c r="U546" t="str">
        <f t="shared" si="24"/>
        <v>2024-06</v>
      </c>
      <c r="V546">
        <f t="shared" si="25"/>
        <v>3</v>
      </c>
      <c r="W546" s="2">
        <f t="shared" si="26"/>
        <v>0.19088187562812342</v>
      </c>
    </row>
    <row r="547" spans="1:23">
      <c r="A547" t="s">
        <v>1207</v>
      </c>
      <c r="B547" s="1">
        <v>45858</v>
      </c>
      <c r="C547" s="1">
        <v>45865</v>
      </c>
      <c r="D547" t="s">
        <v>857</v>
      </c>
      <c r="E547" t="s">
        <v>535</v>
      </c>
      <c r="F547" t="s">
        <v>54</v>
      </c>
      <c r="G547" t="s">
        <v>156</v>
      </c>
      <c r="H547" t="s">
        <v>157</v>
      </c>
      <c r="I547" t="s">
        <v>57</v>
      </c>
      <c r="J547" t="s">
        <v>27</v>
      </c>
      <c r="K547" t="s">
        <v>179</v>
      </c>
      <c r="L547" t="s">
        <v>244</v>
      </c>
      <c r="M547" t="s">
        <v>245</v>
      </c>
      <c r="N547">
        <v>1</v>
      </c>
      <c r="O547">
        <v>34900</v>
      </c>
      <c r="P547">
        <v>0.3</v>
      </c>
      <c r="Q547">
        <v>24430</v>
      </c>
      <c r="R547">
        <v>17165.759999999998</v>
      </c>
      <c r="S547">
        <v>7264.24</v>
      </c>
      <c r="T547" t="s">
        <v>73</v>
      </c>
      <c r="U547" t="str">
        <f t="shared" si="24"/>
        <v>2025-07</v>
      </c>
      <c r="V547">
        <f t="shared" si="25"/>
        <v>7</v>
      </c>
      <c r="W547" s="2">
        <f t="shared" si="26"/>
        <v>0.29734916086778551</v>
      </c>
    </row>
    <row r="548" spans="1:23">
      <c r="A548" t="s">
        <v>1208</v>
      </c>
      <c r="B548" s="1">
        <v>44963</v>
      </c>
      <c r="C548" s="1">
        <v>44964</v>
      </c>
      <c r="D548" t="s">
        <v>1209</v>
      </c>
      <c r="E548" t="s">
        <v>264</v>
      </c>
      <c r="F548" t="s">
        <v>35</v>
      </c>
      <c r="G548" t="s">
        <v>80</v>
      </c>
      <c r="H548" t="s">
        <v>45</v>
      </c>
      <c r="I548" t="s">
        <v>46</v>
      </c>
      <c r="J548" t="s">
        <v>36</v>
      </c>
      <c r="K548" t="s">
        <v>81</v>
      </c>
      <c r="L548" t="s">
        <v>215</v>
      </c>
      <c r="M548" t="s">
        <v>216</v>
      </c>
      <c r="N548">
        <v>3</v>
      </c>
      <c r="O548">
        <v>1909500</v>
      </c>
      <c r="P548">
        <v>0.25</v>
      </c>
      <c r="Q548">
        <v>4296375</v>
      </c>
      <c r="R548">
        <v>3887600.37</v>
      </c>
      <c r="S548">
        <v>408774.63</v>
      </c>
      <c r="T548" t="s">
        <v>40</v>
      </c>
      <c r="U548" t="str">
        <f t="shared" si="24"/>
        <v>2023-02</v>
      </c>
      <c r="V548">
        <f t="shared" si="25"/>
        <v>1</v>
      </c>
      <c r="W548" s="2">
        <f t="shared" si="26"/>
        <v>9.51440761106747E-2</v>
      </c>
    </row>
    <row r="549" spans="1:23">
      <c r="A549" t="s">
        <v>1210</v>
      </c>
      <c r="B549" s="1">
        <v>45665</v>
      </c>
      <c r="C549" s="1">
        <v>45671</v>
      </c>
      <c r="D549" t="s">
        <v>477</v>
      </c>
      <c r="E549" t="s">
        <v>1211</v>
      </c>
      <c r="F549" t="s">
        <v>23</v>
      </c>
      <c r="G549" t="s">
        <v>95</v>
      </c>
      <c r="H549" t="s">
        <v>96</v>
      </c>
      <c r="I549" t="s">
        <v>26</v>
      </c>
      <c r="J549" t="s">
        <v>27</v>
      </c>
      <c r="K549" t="s">
        <v>116</v>
      </c>
      <c r="L549" t="s">
        <v>117</v>
      </c>
      <c r="M549" t="s">
        <v>118</v>
      </c>
      <c r="N549">
        <v>1</v>
      </c>
      <c r="O549">
        <v>25000</v>
      </c>
      <c r="P549">
        <v>0</v>
      </c>
      <c r="Q549">
        <v>25000</v>
      </c>
      <c r="R549">
        <v>13183.05</v>
      </c>
      <c r="S549">
        <v>11816.95</v>
      </c>
      <c r="T549" t="s">
        <v>73</v>
      </c>
      <c r="U549" t="str">
        <f t="shared" si="24"/>
        <v>2025-01</v>
      </c>
      <c r="V549">
        <f t="shared" si="25"/>
        <v>6</v>
      </c>
      <c r="W549" s="2">
        <f t="shared" si="26"/>
        <v>0.47267800000000004</v>
      </c>
    </row>
    <row r="550" spans="1:23">
      <c r="A550" t="s">
        <v>1212</v>
      </c>
      <c r="B550" s="1">
        <v>45224</v>
      </c>
      <c r="C550" s="1">
        <v>45230</v>
      </c>
      <c r="D550" t="s">
        <v>399</v>
      </c>
      <c r="E550" t="s">
        <v>258</v>
      </c>
      <c r="F550" t="s">
        <v>23</v>
      </c>
      <c r="G550" t="s">
        <v>44</v>
      </c>
      <c r="H550" t="s">
        <v>45</v>
      </c>
      <c r="I550" t="s">
        <v>46</v>
      </c>
      <c r="J550" t="s">
        <v>47</v>
      </c>
      <c r="K550" t="s">
        <v>173</v>
      </c>
      <c r="L550" t="s">
        <v>174</v>
      </c>
      <c r="M550" t="s">
        <v>175</v>
      </c>
      <c r="N550">
        <v>1</v>
      </c>
      <c r="O550">
        <v>4666200</v>
      </c>
      <c r="P550">
        <v>0</v>
      </c>
      <c r="Q550">
        <v>4666200</v>
      </c>
      <c r="R550">
        <v>3735225.42</v>
      </c>
      <c r="S550">
        <v>930974.58</v>
      </c>
      <c r="T550" t="s">
        <v>40</v>
      </c>
      <c r="U550" t="str">
        <f t="shared" si="24"/>
        <v>2023-10</v>
      </c>
      <c r="V550">
        <f t="shared" si="25"/>
        <v>6</v>
      </c>
      <c r="W550" s="2">
        <f t="shared" si="26"/>
        <v>0.19951450430757361</v>
      </c>
    </row>
    <row r="551" spans="1:23">
      <c r="A551" t="s">
        <v>1213</v>
      </c>
      <c r="B551" s="1">
        <v>44967</v>
      </c>
      <c r="C551" s="1">
        <v>44974</v>
      </c>
      <c r="D551" t="s">
        <v>516</v>
      </c>
      <c r="E551" t="s">
        <v>1214</v>
      </c>
      <c r="F551" t="s">
        <v>23</v>
      </c>
      <c r="G551" t="s">
        <v>24</v>
      </c>
      <c r="H551" t="s">
        <v>25</v>
      </c>
      <c r="I551" t="s">
        <v>26</v>
      </c>
      <c r="J551" t="s">
        <v>36</v>
      </c>
      <c r="K551" t="s">
        <v>81</v>
      </c>
      <c r="L551" t="s">
        <v>82</v>
      </c>
      <c r="M551" t="s">
        <v>83</v>
      </c>
      <c r="N551">
        <v>1</v>
      </c>
      <c r="O551">
        <v>586100</v>
      </c>
      <c r="P551">
        <v>0.1</v>
      </c>
      <c r="Q551">
        <v>527490</v>
      </c>
      <c r="R551">
        <v>391121.72</v>
      </c>
      <c r="S551">
        <v>136368.28</v>
      </c>
      <c r="T551" t="s">
        <v>40</v>
      </c>
      <c r="U551" t="str">
        <f t="shared" si="24"/>
        <v>2023-02</v>
      </c>
      <c r="V551">
        <f t="shared" si="25"/>
        <v>7</v>
      </c>
      <c r="W551" s="2">
        <f t="shared" si="26"/>
        <v>0.25852296726004287</v>
      </c>
    </row>
    <row r="552" spans="1:23">
      <c r="A552" t="s">
        <v>1215</v>
      </c>
      <c r="B552" s="1">
        <v>45522</v>
      </c>
      <c r="C552" s="1">
        <v>45523</v>
      </c>
      <c r="D552" t="s">
        <v>210</v>
      </c>
      <c r="E552" t="s">
        <v>738</v>
      </c>
      <c r="F552" t="s">
        <v>35</v>
      </c>
      <c r="G552" t="s">
        <v>87</v>
      </c>
      <c r="H552" t="s">
        <v>88</v>
      </c>
      <c r="I552" t="s">
        <v>46</v>
      </c>
      <c r="J552" t="s">
        <v>36</v>
      </c>
      <c r="K552" t="s">
        <v>89</v>
      </c>
      <c r="L552" t="s">
        <v>90</v>
      </c>
      <c r="M552" t="s">
        <v>91</v>
      </c>
      <c r="N552">
        <v>1</v>
      </c>
      <c r="O552">
        <v>2877100</v>
      </c>
      <c r="P552">
        <v>0</v>
      </c>
      <c r="Q552">
        <v>2877100</v>
      </c>
      <c r="R552">
        <v>2064183.18</v>
      </c>
      <c r="S552">
        <v>812916.82</v>
      </c>
      <c r="T552" t="s">
        <v>40</v>
      </c>
      <c r="U552" t="str">
        <f t="shared" si="24"/>
        <v>2024-08</v>
      </c>
      <c r="V552">
        <f t="shared" si="25"/>
        <v>1</v>
      </c>
      <c r="W552" s="2">
        <f t="shared" si="26"/>
        <v>0.28254729415035973</v>
      </c>
    </row>
    <row r="553" spans="1:23">
      <c r="A553" t="s">
        <v>1216</v>
      </c>
      <c r="B553" s="1">
        <v>45781</v>
      </c>
      <c r="C553" s="1">
        <v>45785</v>
      </c>
      <c r="D553" t="s">
        <v>93</v>
      </c>
      <c r="E553" t="s">
        <v>925</v>
      </c>
      <c r="F553" t="s">
        <v>35</v>
      </c>
      <c r="G553" t="s">
        <v>64</v>
      </c>
      <c r="H553" t="s">
        <v>65</v>
      </c>
      <c r="I553" t="s">
        <v>57</v>
      </c>
      <c r="J553" t="s">
        <v>47</v>
      </c>
      <c r="K553" t="s">
        <v>48</v>
      </c>
      <c r="L553" t="s">
        <v>49</v>
      </c>
      <c r="M553" t="s">
        <v>50</v>
      </c>
      <c r="N553">
        <v>1</v>
      </c>
      <c r="O553">
        <v>514000</v>
      </c>
      <c r="P553">
        <v>0.05</v>
      </c>
      <c r="Q553">
        <v>488300</v>
      </c>
      <c r="R553">
        <v>320896.21999999997</v>
      </c>
      <c r="S553">
        <v>167403.78</v>
      </c>
      <c r="T553" t="s">
        <v>31</v>
      </c>
      <c r="U553" t="str">
        <f t="shared" si="24"/>
        <v>2025-05</v>
      </c>
      <c r="V553">
        <f t="shared" si="25"/>
        <v>4</v>
      </c>
      <c r="W553" s="2">
        <f t="shared" si="26"/>
        <v>0.34282977677657178</v>
      </c>
    </row>
    <row r="554" spans="1:23">
      <c r="A554" t="s">
        <v>1217</v>
      </c>
      <c r="B554" s="1">
        <v>45621</v>
      </c>
      <c r="C554" s="1">
        <v>45626</v>
      </c>
      <c r="D554" t="s">
        <v>511</v>
      </c>
      <c r="E554" t="s">
        <v>1218</v>
      </c>
      <c r="F554" t="s">
        <v>54</v>
      </c>
      <c r="G554" t="s">
        <v>80</v>
      </c>
      <c r="H554" t="s">
        <v>45</v>
      </c>
      <c r="I554" t="s">
        <v>46</v>
      </c>
      <c r="J554" t="s">
        <v>27</v>
      </c>
      <c r="K554" t="s">
        <v>116</v>
      </c>
      <c r="L554" t="s">
        <v>207</v>
      </c>
      <c r="M554" t="s">
        <v>208</v>
      </c>
      <c r="N554">
        <v>8</v>
      </c>
      <c r="O554">
        <v>124600</v>
      </c>
      <c r="P554">
        <v>0.1</v>
      </c>
      <c r="Q554">
        <v>897120</v>
      </c>
      <c r="R554">
        <v>594025.74</v>
      </c>
      <c r="S554">
        <v>303094.26</v>
      </c>
      <c r="T554" t="s">
        <v>40</v>
      </c>
      <c r="U554" t="str">
        <f t="shared" si="24"/>
        <v>2024-11</v>
      </c>
      <c r="V554">
        <f t="shared" si="25"/>
        <v>5</v>
      </c>
      <c r="W554" s="2">
        <f t="shared" si="26"/>
        <v>0.33785252808988764</v>
      </c>
    </row>
    <row r="555" spans="1:23">
      <c r="A555" t="s">
        <v>1219</v>
      </c>
      <c r="B555" s="1">
        <v>45258</v>
      </c>
      <c r="C555" s="1">
        <v>45263</v>
      </c>
      <c r="D555" t="s">
        <v>333</v>
      </c>
      <c r="E555" t="s">
        <v>1220</v>
      </c>
      <c r="F555" t="s">
        <v>23</v>
      </c>
      <c r="G555" t="s">
        <v>64</v>
      </c>
      <c r="H555" t="s">
        <v>65</v>
      </c>
      <c r="I555" t="s">
        <v>57</v>
      </c>
      <c r="J555" t="s">
        <v>47</v>
      </c>
      <c r="K555" t="s">
        <v>142</v>
      </c>
      <c r="L555" t="s">
        <v>143</v>
      </c>
      <c r="M555" t="s">
        <v>144</v>
      </c>
      <c r="N555">
        <v>1</v>
      </c>
      <c r="O555">
        <v>6150500</v>
      </c>
      <c r="P555">
        <v>0.15</v>
      </c>
      <c r="Q555">
        <v>5227925</v>
      </c>
      <c r="R555">
        <v>5277606.82</v>
      </c>
      <c r="S555">
        <v>-49681.82</v>
      </c>
      <c r="T555" t="s">
        <v>73</v>
      </c>
      <c r="U555" t="str">
        <f t="shared" si="24"/>
        <v>2023-11</v>
      </c>
      <c r="V555">
        <f t="shared" si="25"/>
        <v>5</v>
      </c>
      <c r="W555" s="2">
        <f t="shared" si="26"/>
        <v>-9.5031623445248348E-3</v>
      </c>
    </row>
    <row r="556" spans="1:23">
      <c r="A556" t="s">
        <v>1221</v>
      </c>
      <c r="B556" s="1">
        <v>45355</v>
      </c>
      <c r="C556" s="1">
        <v>45360</v>
      </c>
      <c r="D556" t="s">
        <v>210</v>
      </c>
      <c r="E556" t="s">
        <v>682</v>
      </c>
      <c r="F556" t="s">
        <v>54</v>
      </c>
      <c r="G556" t="s">
        <v>156</v>
      </c>
      <c r="H556" t="s">
        <v>157</v>
      </c>
      <c r="I556" t="s">
        <v>57</v>
      </c>
      <c r="J556" t="s">
        <v>47</v>
      </c>
      <c r="K556" t="s">
        <v>142</v>
      </c>
      <c r="L556" t="s">
        <v>158</v>
      </c>
      <c r="M556" t="s">
        <v>159</v>
      </c>
      <c r="N556">
        <v>3</v>
      </c>
      <c r="O556">
        <v>7695200</v>
      </c>
      <c r="P556">
        <v>0.2</v>
      </c>
      <c r="Q556">
        <v>18468480</v>
      </c>
      <c r="R556">
        <v>18285013.210000001</v>
      </c>
      <c r="S556">
        <v>183466.79</v>
      </c>
      <c r="T556" t="s">
        <v>60</v>
      </c>
      <c r="U556" t="str">
        <f t="shared" si="24"/>
        <v>2024-03</v>
      </c>
      <c r="V556">
        <f t="shared" si="25"/>
        <v>5</v>
      </c>
      <c r="W556" s="2">
        <f t="shared" si="26"/>
        <v>9.9340492558131488E-3</v>
      </c>
    </row>
    <row r="557" spans="1:23">
      <c r="A557" t="s">
        <v>1222</v>
      </c>
      <c r="B557" s="1">
        <v>45160</v>
      </c>
      <c r="C557" s="1">
        <v>45165</v>
      </c>
      <c r="D557" t="s">
        <v>745</v>
      </c>
      <c r="E557" t="s">
        <v>1130</v>
      </c>
      <c r="F557" t="s">
        <v>23</v>
      </c>
      <c r="G557" t="s">
        <v>64</v>
      </c>
      <c r="H557" t="s">
        <v>65</v>
      </c>
      <c r="I557" t="s">
        <v>57</v>
      </c>
      <c r="J557" t="s">
        <v>47</v>
      </c>
      <c r="K557" t="s">
        <v>173</v>
      </c>
      <c r="L557" t="s">
        <v>174</v>
      </c>
      <c r="M557" t="s">
        <v>175</v>
      </c>
      <c r="N557">
        <v>4</v>
      </c>
      <c r="O557">
        <v>5025500</v>
      </c>
      <c r="P557">
        <v>0.15</v>
      </c>
      <c r="Q557">
        <v>17086700</v>
      </c>
      <c r="R557">
        <v>15414408.17</v>
      </c>
      <c r="S557">
        <v>1672291.83</v>
      </c>
      <c r="T557" t="s">
        <v>60</v>
      </c>
      <c r="U557" t="str">
        <f t="shared" si="24"/>
        <v>2023-08</v>
      </c>
      <c r="V557">
        <f t="shared" si="25"/>
        <v>5</v>
      </c>
      <c r="W557" s="2">
        <f t="shared" si="26"/>
        <v>9.7870965721877257E-2</v>
      </c>
    </row>
    <row r="558" spans="1:23">
      <c r="A558" t="s">
        <v>1223</v>
      </c>
      <c r="B558" s="1">
        <v>45982</v>
      </c>
      <c r="C558" s="1">
        <v>45987</v>
      </c>
      <c r="D558" t="s">
        <v>405</v>
      </c>
      <c r="E558" t="s">
        <v>427</v>
      </c>
      <c r="F558" t="s">
        <v>35</v>
      </c>
      <c r="G558" t="s">
        <v>64</v>
      </c>
      <c r="H558" t="s">
        <v>65</v>
      </c>
      <c r="I558" t="s">
        <v>57</v>
      </c>
      <c r="J558" t="s">
        <v>27</v>
      </c>
      <c r="K558" t="s">
        <v>100</v>
      </c>
      <c r="L558" t="s">
        <v>101</v>
      </c>
      <c r="M558" t="s">
        <v>102</v>
      </c>
      <c r="N558">
        <v>10</v>
      </c>
      <c r="O558">
        <v>62200</v>
      </c>
      <c r="P558">
        <v>0.1</v>
      </c>
      <c r="Q558">
        <v>559800</v>
      </c>
      <c r="R558">
        <v>363170.06</v>
      </c>
      <c r="S558">
        <v>196629.94</v>
      </c>
      <c r="T558" t="s">
        <v>31</v>
      </c>
      <c r="U558" t="str">
        <f t="shared" si="24"/>
        <v>2025-11</v>
      </c>
      <c r="V558">
        <f t="shared" si="25"/>
        <v>5</v>
      </c>
      <c r="W558" s="2">
        <f t="shared" si="26"/>
        <v>0.35125033940693107</v>
      </c>
    </row>
    <row r="559" spans="1:23">
      <c r="A559" t="s">
        <v>1224</v>
      </c>
      <c r="B559" s="1">
        <v>45012</v>
      </c>
      <c r="C559" s="1">
        <v>45017</v>
      </c>
      <c r="D559" t="s">
        <v>114</v>
      </c>
      <c r="E559" t="s">
        <v>136</v>
      </c>
      <c r="F559" t="s">
        <v>54</v>
      </c>
      <c r="G559" t="s">
        <v>24</v>
      </c>
      <c r="H559" t="s">
        <v>25</v>
      </c>
      <c r="I559" t="s">
        <v>26</v>
      </c>
      <c r="J559" t="s">
        <v>47</v>
      </c>
      <c r="K559" t="s">
        <v>142</v>
      </c>
      <c r="L559" t="s">
        <v>143</v>
      </c>
      <c r="M559" t="s">
        <v>144</v>
      </c>
      <c r="N559">
        <v>4</v>
      </c>
      <c r="O559">
        <v>6440400</v>
      </c>
      <c r="P559">
        <v>0.15</v>
      </c>
      <c r="Q559">
        <v>21897360</v>
      </c>
      <c r="R559">
        <v>20914108.359999999</v>
      </c>
      <c r="S559">
        <v>983251.64</v>
      </c>
      <c r="T559" t="s">
        <v>73</v>
      </c>
      <c r="U559" t="str">
        <f t="shared" si="24"/>
        <v>2023-03</v>
      </c>
      <c r="V559">
        <f t="shared" si="25"/>
        <v>5</v>
      </c>
      <c r="W559" s="2">
        <f t="shared" si="26"/>
        <v>4.4902748093834141E-2</v>
      </c>
    </row>
    <row r="560" spans="1:23">
      <c r="A560" t="s">
        <v>1225</v>
      </c>
      <c r="B560" s="1">
        <v>45671</v>
      </c>
      <c r="C560" s="1">
        <v>45674</v>
      </c>
      <c r="D560" t="s">
        <v>1226</v>
      </c>
      <c r="E560" t="s">
        <v>599</v>
      </c>
      <c r="F560" t="s">
        <v>23</v>
      </c>
      <c r="G560" t="s">
        <v>24</v>
      </c>
      <c r="H560" t="s">
        <v>25</v>
      </c>
      <c r="I560" t="s">
        <v>26</v>
      </c>
      <c r="J560" t="s">
        <v>27</v>
      </c>
      <c r="K560" t="s">
        <v>100</v>
      </c>
      <c r="L560" t="s">
        <v>105</v>
      </c>
      <c r="M560" t="s">
        <v>106</v>
      </c>
      <c r="N560">
        <v>4</v>
      </c>
      <c r="O560">
        <v>68500</v>
      </c>
      <c r="P560">
        <v>0.2</v>
      </c>
      <c r="Q560">
        <v>219200</v>
      </c>
      <c r="R560">
        <v>160759.69</v>
      </c>
      <c r="S560">
        <v>58440.31</v>
      </c>
      <c r="T560" t="s">
        <v>40</v>
      </c>
      <c r="U560" t="str">
        <f t="shared" si="24"/>
        <v>2025-01</v>
      </c>
      <c r="V560">
        <f t="shared" si="25"/>
        <v>3</v>
      </c>
      <c r="W560" s="2">
        <f t="shared" si="26"/>
        <v>0.266607253649635</v>
      </c>
    </row>
    <row r="561" spans="1:23">
      <c r="A561" t="s">
        <v>1227</v>
      </c>
      <c r="B561" s="1">
        <v>45101</v>
      </c>
      <c r="C561" s="1">
        <v>45104</v>
      </c>
      <c r="D561" t="s">
        <v>263</v>
      </c>
      <c r="E561" t="s">
        <v>754</v>
      </c>
      <c r="F561" t="s">
        <v>35</v>
      </c>
      <c r="G561" t="s">
        <v>156</v>
      </c>
      <c r="H561" t="s">
        <v>157</v>
      </c>
      <c r="I561" t="s">
        <v>57</v>
      </c>
      <c r="J561" t="s">
        <v>36</v>
      </c>
      <c r="K561" t="s">
        <v>89</v>
      </c>
      <c r="L561" t="s">
        <v>90</v>
      </c>
      <c r="M561" t="s">
        <v>91</v>
      </c>
      <c r="N561">
        <v>1</v>
      </c>
      <c r="O561">
        <v>3357200</v>
      </c>
      <c r="P561">
        <v>0.05</v>
      </c>
      <c r="Q561">
        <v>3189340</v>
      </c>
      <c r="R561">
        <v>2302248.79</v>
      </c>
      <c r="S561">
        <v>887091.21</v>
      </c>
      <c r="T561" t="s">
        <v>73</v>
      </c>
      <c r="U561" t="str">
        <f t="shared" si="24"/>
        <v>2023-06</v>
      </c>
      <c r="V561">
        <f t="shared" si="25"/>
        <v>3</v>
      </c>
      <c r="W561" s="2">
        <f t="shared" si="26"/>
        <v>0.27814256554647671</v>
      </c>
    </row>
    <row r="562" spans="1:23">
      <c r="A562" t="s">
        <v>1228</v>
      </c>
      <c r="B562" s="1">
        <v>45765</v>
      </c>
      <c r="C562" s="1">
        <v>45769</v>
      </c>
      <c r="D562" t="s">
        <v>281</v>
      </c>
      <c r="E562" t="s">
        <v>451</v>
      </c>
      <c r="F562" t="s">
        <v>23</v>
      </c>
      <c r="G562" t="s">
        <v>140</v>
      </c>
      <c r="H562" t="s">
        <v>141</v>
      </c>
      <c r="I562" t="s">
        <v>46</v>
      </c>
      <c r="J562" t="s">
        <v>27</v>
      </c>
      <c r="K562" t="s">
        <v>179</v>
      </c>
      <c r="L562" t="s">
        <v>180</v>
      </c>
      <c r="M562" t="s">
        <v>181</v>
      </c>
      <c r="N562">
        <v>4</v>
      </c>
      <c r="O562">
        <v>56800</v>
      </c>
      <c r="P562">
        <v>0</v>
      </c>
      <c r="Q562">
        <v>227200</v>
      </c>
      <c r="R562">
        <v>119691.03</v>
      </c>
      <c r="S562">
        <v>107508.97</v>
      </c>
      <c r="T562" t="s">
        <v>31</v>
      </c>
      <c r="U562" t="str">
        <f t="shared" si="24"/>
        <v>2025-04</v>
      </c>
      <c r="V562">
        <f t="shared" si="25"/>
        <v>4</v>
      </c>
      <c r="W562" s="2">
        <f t="shared" si="26"/>
        <v>0.47319088908450707</v>
      </c>
    </row>
    <row r="563" spans="1:23">
      <c r="A563" t="s">
        <v>1229</v>
      </c>
      <c r="B563" s="1">
        <v>45815</v>
      </c>
      <c r="C563" s="1">
        <v>45816</v>
      </c>
      <c r="D563" t="s">
        <v>737</v>
      </c>
      <c r="E563" t="s">
        <v>211</v>
      </c>
      <c r="F563" t="s">
        <v>54</v>
      </c>
      <c r="G563" t="s">
        <v>80</v>
      </c>
      <c r="H563" t="s">
        <v>45</v>
      </c>
      <c r="I563" t="s">
        <v>46</v>
      </c>
      <c r="J563" t="s">
        <v>36</v>
      </c>
      <c r="K563" t="s">
        <v>81</v>
      </c>
      <c r="L563" t="s">
        <v>215</v>
      </c>
      <c r="M563" t="s">
        <v>216</v>
      </c>
      <c r="N563">
        <v>10</v>
      </c>
      <c r="O563">
        <v>1952300</v>
      </c>
      <c r="P563">
        <v>0.15</v>
      </c>
      <c r="Q563">
        <v>16594550</v>
      </c>
      <c r="R563">
        <v>13707972.619999999</v>
      </c>
      <c r="S563">
        <v>2886577.38</v>
      </c>
      <c r="T563" t="s">
        <v>31</v>
      </c>
      <c r="U563" t="str">
        <f t="shared" si="24"/>
        <v>2025-06</v>
      </c>
      <c r="V563">
        <f t="shared" si="25"/>
        <v>1</v>
      </c>
      <c r="W563" s="2">
        <f t="shared" si="26"/>
        <v>0.1739473128225833</v>
      </c>
    </row>
    <row r="564" spans="1:23">
      <c r="A564" t="s">
        <v>1230</v>
      </c>
      <c r="B564" s="1">
        <v>45550</v>
      </c>
      <c r="C564" s="1">
        <v>45556</v>
      </c>
      <c r="D564" t="s">
        <v>488</v>
      </c>
      <c r="E564" t="s">
        <v>473</v>
      </c>
      <c r="F564" t="s">
        <v>35</v>
      </c>
      <c r="G564" t="s">
        <v>140</v>
      </c>
      <c r="H564" t="s">
        <v>141</v>
      </c>
      <c r="I564" t="s">
        <v>46</v>
      </c>
      <c r="J564" t="s">
        <v>27</v>
      </c>
      <c r="K564" t="s">
        <v>179</v>
      </c>
      <c r="L564" t="s">
        <v>180</v>
      </c>
      <c r="M564" t="s">
        <v>181</v>
      </c>
      <c r="N564">
        <v>3</v>
      </c>
      <c r="O564">
        <v>55900</v>
      </c>
      <c r="P564">
        <v>0</v>
      </c>
      <c r="Q564">
        <v>167700</v>
      </c>
      <c r="R564">
        <v>90727.53</v>
      </c>
      <c r="S564">
        <v>76972.47</v>
      </c>
      <c r="T564" t="s">
        <v>73</v>
      </c>
      <c r="U564" t="str">
        <f t="shared" si="24"/>
        <v>2024-09</v>
      </c>
      <c r="V564">
        <f t="shared" si="25"/>
        <v>6</v>
      </c>
      <c r="W564" s="2">
        <f t="shared" si="26"/>
        <v>0.45898908765652952</v>
      </c>
    </row>
    <row r="565" spans="1:23">
      <c r="A565" t="s">
        <v>1231</v>
      </c>
      <c r="B565" s="1">
        <v>45755</v>
      </c>
      <c r="C565" s="1">
        <v>45762</v>
      </c>
      <c r="D565" t="s">
        <v>257</v>
      </c>
      <c r="E565" t="s">
        <v>704</v>
      </c>
      <c r="F565" t="s">
        <v>23</v>
      </c>
      <c r="G565" t="s">
        <v>44</v>
      </c>
      <c r="H565" t="s">
        <v>45</v>
      </c>
      <c r="I565" t="s">
        <v>46</v>
      </c>
      <c r="J565" t="s">
        <v>47</v>
      </c>
      <c r="K565" t="s">
        <v>48</v>
      </c>
      <c r="L565" t="s">
        <v>66</v>
      </c>
      <c r="M565" t="s">
        <v>67</v>
      </c>
      <c r="N565">
        <v>2</v>
      </c>
      <c r="O565">
        <v>132300</v>
      </c>
      <c r="P565">
        <v>0.2</v>
      </c>
      <c r="Q565">
        <v>211680</v>
      </c>
      <c r="R565">
        <v>156178.41</v>
      </c>
      <c r="S565">
        <v>55501.59</v>
      </c>
      <c r="T565" t="s">
        <v>60</v>
      </c>
      <c r="U565" t="str">
        <f t="shared" si="24"/>
        <v>2025-04</v>
      </c>
      <c r="V565">
        <f t="shared" si="25"/>
        <v>7</v>
      </c>
      <c r="W565" s="2">
        <f t="shared" si="26"/>
        <v>0.26219571995464852</v>
      </c>
    </row>
    <row r="566" spans="1:23">
      <c r="A566" t="s">
        <v>1232</v>
      </c>
      <c r="B566" s="1">
        <v>45974</v>
      </c>
      <c r="C566" s="1">
        <v>45979</v>
      </c>
      <c r="D566" t="s">
        <v>1233</v>
      </c>
      <c r="E566" t="s">
        <v>909</v>
      </c>
      <c r="F566" t="s">
        <v>23</v>
      </c>
      <c r="G566" t="s">
        <v>80</v>
      </c>
      <c r="H566" t="s">
        <v>45</v>
      </c>
      <c r="I566" t="s">
        <v>46</v>
      </c>
      <c r="J566" t="s">
        <v>47</v>
      </c>
      <c r="K566" t="s">
        <v>48</v>
      </c>
      <c r="L566" t="s">
        <v>49</v>
      </c>
      <c r="M566" t="s">
        <v>50</v>
      </c>
      <c r="N566">
        <v>1</v>
      </c>
      <c r="O566">
        <v>519100</v>
      </c>
      <c r="P566">
        <v>0.15</v>
      </c>
      <c r="Q566">
        <v>441235</v>
      </c>
      <c r="R566">
        <v>347043.55</v>
      </c>
      <c r="S566">
        <v>94191.45</v>
      </c>
      <c r="T566" t="s">
        <v>60</v>
      </c>
      <c r="U566" t="str">
        <f t="shared" si="24"/>
        <v>2025-11</v>
      </c>
      <c r="V566">
        <f t="shared" si="25"/>
        <v>5</v>
      </c>
      <c r="W566" s="2">
        <f t="shared" si="26"/>
        <v>0.21347229934162068</v>
      </c>
    </row>
    <row r="567" spans="1:23">
      <c r="A567" t="s">
        <v>1234</v>
      </c>
      <c r="B567" s="1">
        <v>45690</v>
      </c>
      <c r="C567" s="1">
        <v>45693</v>
      </c>
      <c r="D567" t="s">
        <v>192</v>
      </c>
      <c r="E567" t="s">
        <v>687</v>
      </c>
      <c r="F567" t="s">
        <v>23</v>
      </c>
      <c r="G567" t="s">
        <v>44</v>
      </c>
      <c r="H567" t="s">
        <v>45</v>
      </c>
      <c r="I567" t="s">
        <v>46</v>
      </c>
      <c r="J567" t="s">
        <v>27</v>
      </c>
      <c r="K567" t="s">
        <v>179</v>
      </c>
      <c r="L567" t="s">
        <v>180</v>
      </c>
      <c r="M567" t="s">
        <v>181</v>
      </c>
      <c r="N567">
        <v>2</v>
      </c>
      <c r="O567">
        <v>57500</v>
      </c>
      <c r="P567">
        <v>0</v>
      </c>
      <c r="Q567">
        <v>115000</v>
      </c>
      <c r="R567">
        <v>60588.41</v>
      </c>
      <c r="S567">
        <v>54411.59</v>
      </c>
      <c r="T567" t="s">
        <v>31</v>
      </c>
      <c r="U567" t="str">
        <f t="shared" si="24"/>
        <v>2025-02</v>
      </c>
      <c r="V567">
        <f t="shared" si="25"/>
        <v>3</v>
      </c>
      <c r="W567" s="2">
        <f t="shared" si="26"/>
        <v>0.47314426086956518</v>
      </c>
    </row>
    <row r="568" spans="1:23">
      <c r="A568" t="s">
        <v>1235</v>
      </c>
      <c r="B568" s="1">
        <v>46019</v>
      </c>
      <c r="C568" s="1">
        <v>46026</v>
      </c>
      <c r="D568" t="s">
        <v>1236</v>
      </c>
      <c r="E568" t="s">
        <v>282</v>
      </c>
      <c r="F568" t="s">
        <v>23</v>
      </c>
      <c r="G568" t="s">
        <v>95</v>
      </c>
      <c r="H568" t="s">
        <v>96</v>
      </c>
      <c r="I568" t="s">
        <v>26</v>
      </c>
      <c r="J568" t="s">
        <v>36</v>
      </c>
      <c r="K568" t="s">
        <v>89</v>
      </c>
      <c r="L568" t="s">
        <v>151</v>
      </c>
      <c r="M568" t="s">
        <v>152</v>
      </c>
      <c r="N568">
        <v>4</v>
      </c>
      <c r="O568">
        <v>1267900</v>
      </c>
      <c r="P568">
        <v>0</v>
      </c>
      <c r="Q568">
        <v>5071600</v>
      </c>
      <c r="R568">
        <v>3372895.32</v>
      </c>
      <c r="S568">
        <v>1698704.68</v>
      </c>
      <c r="T568" t="s">
        <v>73</v>
      </c>
      <c r="U568" t="str">
        <f t="shared" si="24"/>
        <v>2025-12</v>
      </c>
      <c r="V568">
        <f t="shared" si="25"/>
        <v>7</v>
      </c>
      <c r="W568" s="2">
        <f t="shared" si="26"/>
        <v>0.33494453032573546</v>
      </c>
    </row>
    <row r="569" spans="1:23">
      <c r="A569" t="s">
        <v>1237</v>
      </c>
      <c r="B569" s="1">
        <v>45666</v>
      </c>
      <c r="C569" s="1">
        <v>45670</v>
      </c>
      <c r="D569" t="s">
        <v>132</v>
      </c>
      <c r="E569" t="s">
        <v>1088</v>
      </c>
      <c r="F569" t="s">
        <v>23</v>
      </c>
      <c r="G569" t="s">
        <v>169</v>
      </c>
      <c r="H569" t="s">
        <v>157</v>
      </c>
      <c r="I569" t="s">
        <v>57</v>
      </c>
      <c r="J569" t="s">
        <v>47</v>
      </c>
      <c r="K569" t="s">
        <v>48</v>
      </c>
      <c r="L569" t="s">
        <v>225</v>
      </c>
      <c r="M569" t="s">
        <v>226</v>
      </c>
      <c r="N569">
        <v>2</v>
      </c>
      <c r="O569">
        <v>213600</v>
      </c>
      <c r="P569">
        <v>0</v>
      </c>
      <c r="Q569">
        <v>427200</v>
      </c>
      <c r="R569">
        <v>246105.51</v>
      </c>
      <c r="S569">
        <v>181094.49</v>
      </c>
      <c r="T569" t="s">
        <v>31</v>
      </c>
      <c r="U569" t="str">
        <f t="shared" si="24"/>
        <v>2025-01</v>
      </c>
      <c r="V569">
        <f t="shared" si="25"/>
        <v>4</v>
      </c>
      <c r="W569" s="2">
        <f t="shared" si="26"/>
        <v>0.42391032303370785</v>
      </c>
    </row>
    <row r="570" spans="1:23">
      <c r="A570" t="s">
        <v>1238</v>
      </c>
      <c r="B570" s="1">
        <v>45989</v>
      </c>
      <c r="C570" s="1">
        <v>45996</v>
      </c>
      <c r="D570" t="s">
        <v>1239</v>
      </c>
      <c r="E570" t="s">
        <v>1240</v>
      </c>
      <c r="F570" t="s">
        <v>23</v>
      </c>
      <c r="G570" t="s">
        <v>55</v>
      </c>
      <c r="H570" t="s">
        <v>56</v>
      </c>
      <c r="I570" t="s">
        <v>57</v>
      </c>
      <c r="J570" t="s">
        <v>36</v>
      </c>
      <c r="K570" t="s">
        <v>89</v>
      </c>
      <c r="L570" t="s">
        <v>151</v>
      </c>
      <c r="M570" t="s">
        <v>152</v>
      </c>
      <c r="N570">
        <v>10</v>
      </c>
      <c r="O570">
        <v>1314500</v>
      </c>
      <c r="P570">
        <v>0.25</v>
      </c>
      <c r="Q570">
        <v>9858750</v>
      </c>
      <c r="R570">
        <v>9204556.8300000001</v>
      </c>
      <c r="S570">
        <v>654193.17000000004</v>
      </c>
      <c r="T570" t="s">
        <v>40</v>
      </c>
      <c r="U570" t="str">
        <f t="shared" si="24"/>
        <v>2025-11</v>
      </c>
      <c r="V570">
        <f t="shared" si="25"/>
        <v>7</v>
      </c>
      <c r="W570" s="2">
        <f t="shared" si="26"/>
        <v>6.6356604031951316E-2</v>
      </c>
    </row>
    <row r="571" spans="1:23">
      <c r="A571" t="s">
        <v>1241</v>
      </c>
      <c r="B571" s="1">
        <v>45222</v>
      </c>
      <c r="C571" s="1">
        <v>45227</v>
      </c>
      <c r="D571" t="s">
        <v>853</v>
      </c>
      <c r="E571" t="s">
        <v>1067</v>
      </c>
      <c r="F571" t="s">
        <v>54</v>
      </c>
      <c r="G571" t="s">
        <v>80</v>
      </c>
      <c r="H571" t="s">
        <v>45</v>
      </c>
      <c r="I571" t="s">
        <v>46</v>
      </c>
      <c r="J571" t="s">
        <v>47</v>
      </c>
      <c r="K571" t="s">
        <v>128</v>
      </c>
      <c r="L571" t="s">
        <v>129</v>
      </c>
      <c r="M571" t="s">
        <v>130</v>
      </c>
      <c r="N571">
        <v>3</v>
      </c>
      <c r="O571">
        <v>1450300</v>
      </c>
      <c r="P571">
        <v>0</v>
      </c>
      <c r="Q571">
        <v>4350900</v>
      </c>
      <c r="R571">
        <v>3039887.66</v>
      </c>
      <c r="S571">
        <v>1311012.3400000001</v>
      </c>
      <c r="T571" t="s">
        <v>31</v>
      </c>
      <c r="U571" t="str">
        <f t="shared" si="24"/>
        <v>2023-10</v>
      </c>
      <c r="V571">
        <f t="shared" si="25"/>
        <v>5</v>
      </c>
      <c r="W571" s="2">
        <f t="shared" si="26"/>
        <v>0.30131980509779588</v>
      </c>
    </row>
    <row r="572" spans="1:23">
      <c r="A572" t="s">
        <v>1242</v>
      </c>
      <c r="B572" s="1">
        <v>45763</v>
      </c>
      <c r="C572" s="1">
        <v>45764</v>
      </c>
      <c r="D572" t="s">
        <v>435</v>
      </c>
      <c r="E572" t="s">
        <v>619</v>
      </c>
      <c r="F572" t="s">
        <v>35</v>
      </c>
      <c r="G572" t="s">
        <v>140</v>
      </c>
      <c r="H572" t="s">
        <v>141</v>
      </c>
      <c r="I572" t="s">
        <v>46</v>
      </c>
      <c r="J572" t="s">
        <v>47</v>
      </c>
      <c r="K572" t="s">
        <v>48</v>
      </c>
      <c r="L572" t="s">
        <v>66</v>
      </c>
      <c r="M572" t="s">
        <v>67</v>
      </c>
      <c r="N572">
        <v>2</v>
      </c>
      <c r="O572">
        <v>139800</v>
      </c>
      <c r="P572">
        <v>0</v>
      </c>
      <c r="Q572">
        <v>279600</v>
      </c>
      <c r="R572">
        <v>164303.79999999999</v>
      </c>
      <c r="S572">
        <v>115296.2</v>
      </c>
      <c r="T572" t="s">
        <v>31</v>
      </c>
      <c r="U572" t="str">
        <f t="shared" si="24"/>
        <v>2025-04</v>
      </c>
      <c r="V572">
        <f t="shared" si="25"/>
        <v>1</v>
      </c>
      <c r="W572" s="2">
        <f t="shared" si="26"/>
        <v>0.41236123032904148</v>
      </c>
    </row>
    <row r="573" spans="1:23">
      <c r="A573" t="s">
        <v>1243</v>
      </c>
      <c r="B573" s="1">
        <v>45790</v>
      </c>
      <c r="C573" s="1">
        <v>45791</v>
      </c>
      <c r="D573" t="s">
        <v>325</v>
      </c>
      <c r="E573" t="s">
        <v>318</v>
      </c>
      <c r="F573" t="s">
        <v>23</v>
      </c>
      <c r="G573" t="s">
        <v>95</v>
      </c>
      <c r="H573" t="s">
        <v>96</v>
      </c>
      <c r="I573" t="s">
        <v>26</v>
      </c>
      <c r="J573" t="s">
        <v>27</v>
      </c>
      <c r="K573" t="s">
        <v>179</v>
      </c>
      <c r="L573" t="s">
        <v>244</v>
      </c>
      <c r="M573" t="s">
        <v>245</v>
      </c>
      <c r="N573">
        <v>1</v>
      </c>
      <c r="O573">
        <v>38800</v>
      </c>
      <c r="P573">
        <v>0</v>
      </c>
      <c r="Q573">
        <v>38800</v>
      </c>
      <c r="R573">
        <v>18542.689999999999</v>
      </c>
      <c r="S573">
        <v>20257.310000000001</v>
      </c>
      <c r="T573" t="s">
        <v>40</v>
      </c>
      <c r="U573" t="str">
        <f t="shared" si="24"/>
        <v>2025-05</v>
      </c>
      <c r="V573">
        <f t="shared" si="25"/>
        <v>1</v>
      </c>
      <c r="W573" s="2">
        <f t="shared" si="26"/>
        <v>0.52209561855670106</v>
      </c>
    </row>
    <row r="574" spans="1:23">
      <c r="A574" t="s">
        <v>1244</v>
      </c>
      <c r="B574" s="1">
        <v>45853</v>
      </c>
      <c r="C574" s="1">
        <v>45856</v>
      </c>
      <c r="D574" t="s">
        <v>242</v>
      </c>
      <c r="E574" t="s">
        <v>329</v>
      </c>
      <c r="F574" t="s">
        <v>23</v>
      </c>
      <c r="G574" t="s">
        <v>55</v>
      </c>
      <c r="H574" t="s">
        <v>56</v>
      </c>
      <c r="I574" t="s">
        <v>57</v>
      </c>
      <c r="J574" t="s">
        <v>27</v>
      </c>
      <c r="K574" t="s">
        <v>116</v>
      </c>
      <c r="L574" t="s">
        <v>207</v>
      </c>
      <c r="M574" t="s">
        <v>208</v>
      </c>
      <c r="N574">
        <v>2</v>
      </c>
      <c r="O574">
        <v>115200</v>
      </c>
      <c r="P574">
        <v>0.05</v>
      </c>
      <c r="Q574">
        <v>218880</v>
      </c>
      <c r="R574">
        <v>132428.49</v>
      </c>
      <c r="S574">
        <v>86451.51</v>
      </c>
      <c r="T574" t="s">
        <v>73</v>
      </c>
      <c r="U574" t="str">
        <f t="shared" si="24"/>
        <v>2025-07</v>
      </c>
      <c r="V574">
        <f t="shared" si="25"/>
        <v>3</v>
      </c>
      <c r="W574" s="2">
        <f t="shared" si="26"/>
        <v>0.3949721765350877</v>
      </c>
    </row>
    <row r="575" spans="1:23">
      <c r="A575" t="s">
        <v>1245</v>
      </c>
      <c r="B575" s="1">
        <v>45765</v>
      </c>
      <c r="C575" s="1">
        <v>45769</v>
      </c>
      <c r="D575" t="s">
        <v>1160</v>
      </c>
      <c r="E575" t="s">
        <v>543</v>
      </c>
      <c r="F575" t="s">
        <v>35</v>
      </c>
      <c r="G575" t="s">
        <v>156</v>
      </c>
      <c r="H575" t="s">
        <v>157</v>
      </c>
      <c r="I575" t="s">
        <v>57</v>
      </c>
      <c r="J575" t="s">
        <v>47</v>
      </c>
      <c r="K575" t="s">
        <v>48</v>
      </c>
      <c r="L575" t="s">
        <v>225</v>
      </c>
      <c r="M575" t="s">
        <v>226</v>
      </c>
      <c r="N575">
        <v>4</v>
      </c>
      <c r="O575">
        <v>239700</v>
      </c>
      <c r="P575">
        <v>0.2</v>
      </c>
      <c r="Q575">
        <v>767040</v>
      </c>
      <c r="R575">
        <v>599405.59</v>
      </c>
      <c r="S575">
        <v>167634.41</v>
      </c>
      <c r="T575" t="s">
        <v>40</v>
      </c>
      <c r="U575" t="str">
        <f t="shared" si="24"/>
        <v>2025-04</v>
      </c>
      <c r="V575">
        <f t="shared" si="25"/>
        <v>4</v>
      </c>
      <c r="W575" s="2">
        <f t="shared" si="26"/>
        <v>0.21854715529828952</v>
      </c>
    </row>
    <row r="576" spans="1:23">
      <c r="A576" t="s">
        <v>1246</v>
      </c>
      <c r="B576" s="1">
        <v>45180</v>
      </c>
      <c r="C576" s="1">
        <v>45186</v>
      </c>
      <c r="D576" t="s">
        <v>1145</v>
      </c>
      <c r="E576" t="s">
        <v>342</v>
      </c>
      <c r="F576" t="s">
        <v>35</v>
      </c>
      <c r="G576" t="s">
        <v>55</v>
      </c>
      <c r="H576" t="s">
        <v>56</v>
      </c>
      <c r="I576" t="s">
        <v>57</v>
      </c>
      <c r="J576" t="s">
        <v>36</v>
      </c>
      <c r="K576" t="s">
        <v>81</v>
      </c>
      <c r="L576" t="s">
        <v>82</v>
      </c>
      <c r="M576" t="s">
        <v>83</v>
      </c>
      <c r="N576">
        <v>8</v>
      </c>
      <c r="O576">
        <v>659600</v>
      </c>
      <c r="P576">
        <v>0.15</v>
      </c>
      <c r="Q576">
        <v>4485280</v>
      </c>
      <c r="R576">
        <v>3428967.79</v>
      </c>
      <c r="S576">
        <v>1056312.21</v>
      </c>
      <c r="T576" t="s">
        <v>31</v>
      </c>
      <c r="U576" t="str">
        <f t="shared" si="24"/>
        <v>2023-09</v>
      </c>
      <c r="V576">
        <f t="shared" si="25"/>
        <v>6</v>
      </c>
      <c r="W576" s="2">
        <f t="shared" si="26"/>
        <v>0.23550641431527128</v>
      </c>
    </row>
    <row r="577" spans="1:23">
      <c r="A577" t="s">
        <v>1247</v>
      </c>
      <c r="B577" s="1">
        <v>46016</v>
      </c>
      <c r="C577" s="1">
        <v>46018</v>
      </c>
      <c r="D577" t="s">
        <v>881</v>
      </c>
      <c r="E577" t="s">
        <v>1248</v>
      </c>
      <c r="F577" t="s">
        <v>23</v>
      </c>
      <c r="G577" t="s">
        <v>24</v>
      </c>
      <c r="H577" t="s">
        <v>25</v>
      </c>
      <c r="I577" t="s">
        <v>26</v>
      </c>
      <c r="J577" t="s">
        <v>27</v>
      </c>
      <c r="K577" t="s">
        <v>179</v>
      </c>
      <c r="L577" t="s">
        <v>244</v>
      </c>
      <c r="M577" t="s">
        <v>245</v>
      </c>
      <c r="N577">
        <v>1</v>
      </c>
      <c r="O577">
        <v>38700</v>
      </c>
      <c r="P577">
        <v>0.05</v>
      </c>
      <c r="Q577">
        <v>36765</v>
      </c>
      <c r="R577">
        <v>19863.86</v>
      </c>
      <c r="S577">
        <v>16901.14</v>
      </c>
      <c r="T577" t="s">
        <v>40</v>
      </c>
      <c r="U577" t="str">
        <f t="shared" si="24"/>
        <v>2025-12</v>
      </c>
      <c r="V577">
        <f t="shared" si="25"/>
        <v>2</v>
      </c>
      <c r="W577" s="2">
        <f t="shared" si="26"/>
        <v>0.45970733034135725</v>
      </c>
    </row>
    <row r="578" spans="1:23">
      <c r="A578" t="s">
        <v>1249</v>
      </c>
      <c r="B578" s="1">
        <v>44974</v>
      </c>
      <c r="C578" s="1">
        <v>44977</v>
      </c>
      <c r="D578" t="s">
        <v>1226</v>
      </c>
      <c r="E578" t="s">
        <v>261</v>
      </c>
      <c r="F578" t="s">
        <v>54</v>
      </c>
      <c r="G578" t="s">
        <v>140</v>
      </c>
      <c r="H578" t="s">
        <v>141</v>
      </c>
      <c r="I578" t="s">
        <v>46</v>
      </c>
      <c r="J578" t="s">
        <v>36</v>
      </c>
      <c r="K578" t="s">
        <v>89</v>
      </c>
      <c r="L578" t="s">
        <v>90</v>
      </c>
      <c r="M578" t="s">
        <v>91</v>
      </c>
      <c r="N578">
        <v>2</v>
      </c>
      <c r="O578">
        <v>2898100</v>
      </c>
      <c r="P578">
        <v>0.3</v>
      </c>
      <c r="Q578">
        <v>4057340</v>
      </c>
      <c r="R578">
        <v>4140236.75</v>
      </c>
      <c r="S578">
        <v>-82896.75</v>
      </c>
      <c r="T578" t="s">
        <v>60</v>
      </c>
      <c r="U578" t="str">
        <f t="shared" si="24"/>
        <v>2023-02</v>
      </c>
      <c r="V578">
        <f t="shared" si="25"/>
        <v>3</v>
      </c>
      <c r="W578" s="2">
        <f t="shared" si="26"/>
        <v>-2.0431304746459503E-2</v>
      </c>
    </row>
    <row r="579" spans="1:23">
      <c r="A579" t="s">
        <v>1250</v>
      </c>
      <c r="B579" s="1">
        <v>45450</v>
      </c>
      <c r="C579" s="1">
        <v>45457</v>
      </c>
      <c r="D579" t="s">
        <v>1251</v>
      </c>
      <c r="E579" t="s">
        <v>1013</v>
      </c>
      <c r="F579" t="s">
        <v>35</v>
      </c>
      <c r="G579" t="s">
        <v>169</v>
      </c>
      <c r="H579" t="s">
        <v>157</v>
      </c>
      <c r="I579" t="s">
        <v>57</v>
      </c>
      <c r="J579" t="s">
        <v>47</v>
      </c>
      <c r="K579" t="s">
        <v>48</v>
      </c>
      <c r="L579" t="s">
        <v>66</v>
      </c>
      <c r="M579" t="s">
        <v>67</v>
      </c>
      <c r="N579">
        <v>3</v>
      </c>
      <c r="O579">
        <v>121400</v>
      </c>
      <c r="P579">
        <v>0</v>
      </c>
      <c r="Q579">
        <v>364200</v>
      </c>
      <c r="R579">
        <v>202280.7</v>
      </c>
      <c r="S579">
        <v>161919.29999999999</v>
      </c>
      <c r="T579" t="s">
        <v>31</v>
      </c>
      <c r="U579" t="str">
        <f t="shared" ref="U579:U642" si="27">TEXT(B579,"yyyy-mm")</f>
        <v>2024-06</v>
      </c>
      <c r="V579">
        <f t="shared" ref="V579:V642" si="28">C579-B579</f>
        <v>7</v>
      </c>
      <c r="W579" s="2">
        <f t="shared" ref="W579:W642" si="29">IF(Q579=0,0,S579/Q579)</f>
        <v>0.44458896210873144</v>
      </c>
    </row>
    <row r="580" spans="1:23">
      <c r="A580" t="s">
        <v>1252</v>
      </c>
      <c r="B580" s="1">
        <v>45218</v>
      </c>
      <c r="C580" s="1">
        <v>45222</v>
      </c>
      <c r="D580" t="s">
        <v>201</v>
      </c>
      <c r="E580" t="s">
        <v>521</v>
      </c>
      <c r="F580" t="s">
        <v>54</v>
      </c>
      <c r="G580" t="s">
        <v>169</v>
      </c>
      <c r="H580" t="s">
        <v>157</v>
      </c>
      <c r="I580" t="s">
        <v>57</v>
      </c>
      <c r="J580" t="s">
        <v>27</v>
      </c>
      <c r="K580" t="s">
        <v>179</v>
      </c>
      <c r="L580" t="s">
        <v>244</v>
      </c>
      <c r="M580" t="s">
        <v>245</v>
      </c>
      <c r="N580">
        <v>1</v>
      </c>
      <c r="O580">
        <v>36200</v>
      </c>
      <c r="P580">
        <v>0.1</v>
      </c>
      <c r="Q580">
        <v>32580</v>
      </c>
      <c r="R580">
        <v>17751.46</v>
      </c>
      <c r="S580">
        <v>14828.54</v>
      </c>
      <c r="T580" t="s">
        <v>31</v>
      </c>
      <c r="U580" t="str">
        <f t="shared" si="27"/>
        <v>2023-10</v>
      </c>
      <c r="V580">
        <f t="shared" si="28"/>
        <v>4</v>
      </c>
      <c r="W580" s="2">
        <f t="shared" si="29"/>
        <v>0.4551424186617557</v>
      </c>
    </row>
    <row r="581" spans="1:23">
      <c r="A581" t="s">
        <v>1253</v>
      </c>
      <c r="B581" s="1">
        <v>45478</v>
      </c>
      <c r="C581" s="1">
        <v>45479</v>
      </c>
      <c r="D581" t="s">
        <v>302</v>
      </c>
      <c r="E581" t="s">
        <v>1254</v>
      </c>
      <c r="F581" t="s">
        <v>23</v>
      </c>
      <c r="G581" t="s">
        <v>44</v>
      </c>
      <c r="H581" t="s">
        <v>45</v>
      </c>
      <c r="I581" t="s">
        <v>46</v>
      </c>
      <c r="J581" t="s">
        <v>47</v>
      </c>
      <c r="K581" t="s">
        <v>48</v>
      </c>
      <c r="L581" t="s">
        <v>225</v>
      </c>
      <c r="M581" t="s">
        <v>226</v>
      </c>
      <c r="N581">
        <v>3</v>
      </c>
      <c r="O581">
        <v>253200</v>
      </c>
      <c r="P581">
        <v>0</v>
      </c>
      <c r="Q581">
        <v>759600</v>
      </c>
      <c r="R581">
        <v>465800.29</v>
      </c>
      <c r="S581">
        <v>293799.71000000002</v>
      </c>
      <c r="T581" t="s">
        <v>40</v>
      </c>
      <c r="U581" t="str">
        <f t="shared" si="27"/>
        <v>2024-07</v>
      </c>
      <c r="V581">
        <f t="shared" si="28"/>
        <v>1</v>
      </c>
      <c r="W581" s="2">
        <f t="shared" si="29"/>
        <v>0.38678213533438655</v>
      </c>
    </row>
    <row r="582" spans="1:23">
      <c r="A582" t="s">
        <v>1255</v>
      </c>
      <c r="B582" s="1">
        <v>45184</v>
      </c>
      <c r="C582" s="1">
        <v>45187</v>
      </c>
      <c r="D582" t="s">
        <v>548</v>
      </c>
      <c r="E582" t="s">
        <v>930</v>
      </c>
      <c r="F582" t="s">
        <v>54</v>
      </c>
      <c r="G582" t="s">
        <v>44</v>
      </c>
      <c r="H582" t="s">
        <v>45</v>
      </c>
      <c r="I582" t="s">
        <v>46</v>
      </c>
      <c r="J582" t="s">
        <v>36</v>
      </c>
      <c r="K582" t="s">
        <v>89</v>
      </c>
      <c r="L582" t="s">
        <v>90</v>
      </c>
      <c r="M582" t="s">
        <v>91</v>
      </c>
      <c r="N582">
        <v>4</v>
      </c>
      <c r="O582">
        <v>2933700</v>
      </c>
      <c r="P582">
        <v>0.1</v>
      </c>
      <c r="Q582">
        <v>10561320</v>
      </c>
      <c r="R582">
        <v>7983244.7400000002</v>
      </c>
      <c r="S582">
        <v>2578075.2599999998</v>
      </c>
      <c r="T582" t="s">
        <v>73</v>
      </c>
      <c r="U582" t="str">
        <f t="shared" si="27"/>
        <v>2023-09</v>
      </c>
      <c r="V582">
        <f t="shared" si="28"/>
        <v>3</v>
      </c>
      <c r="W582" s="2">
        <f t="shared" si="29"/>
        <v>0.24410540159752755</v>
      </c>
    </row>
    <row r="583" spans="1:23">
      <c r="A583" t="s">
        <v>1256</v>
      </c>
      <c r="B583" s="1">
        <v>45852</v>
      </c>
      <c r="C583" s="1">
        <v>45853</v>
      </c>
      <c r="D583" t="s">
        <v>213</v>
      </c>
      <c r="E583" t="s">
        <v>358</v>
      </c>
      <c r="F583" t="s">
        <v>23</v>
      </c>
      <c r="G583" t="s">
        <v>55</v>
      </c>
      <c r="H583" t="s">
        <v>56</v>
      </c>
      <c r="I583" t="s">
        <v>57</v>
      </c>
      <c r="J583" t="s">
        <v>47</v>
      </c>
      <c r="K583" t="s">
        <v>128</v>
      </c>
      <c r="L583" t="s">
        <v>129</v>
      </c>
      <c r="M583" t="s">
        <v>130</v>
      </c>
      <c r="N583">
        <v>1</v>
      </c>
      <c r="O583">
        <v>1602800</v>
      </c>
      <c r="P583">
        <v>0.05</v>
      </c>
      <c r="Q583">
        <v>1522660</v>
      </c>
      <c r="R583">
        <v>1186008.56</v>
      </c>
      <c r="S583">
        <v>336651.44</v>
      </c>
      <c r="T583" t="s">
        <v>73</v>
      </c>
      <c r="U583" t="str">
        <f t="shared" si="27"/>
        <v>2025-07</v>
      </c>
      <c r="V583">
        <f t="shared" si="28"/>
        <v>1</v>
      </c>
      <c r="W583" s="2">
        <f t="shared" si="29"/>
        <v>0.22109429550917473</v>
      </c>
    </row>
    <row r="584" spans="1:23">
      <c r="A584" t="s">
        <v>1257</v>
      </c>
      <c r="B584" s="1">
        <v>45362</v>
      </c>
      <c r="C584" s="1">
        <v>45367</v>
      </c>
      <c r="D584" t="s">
        <v>665</v>
      </c>
      <c r="E584" t="s">
        <v>1200</v>
      </c>
      <c r="F584" t="s">
        <v>23</v>
      </c>
      <c r="G584" t="s">
        <v>140</v>
      </c>
      <c r="H584" t="s">
        <v>141</v>
      </c>
      <c r="I584" t="s">
        <v>46</v>
      </c>
      <c r="J584" t="s">
        <v>27</v>
      </c>
      <c r="K584" t="s">
        <v>179</v>
      </c>
      <c r="L584" t="s">
        <v>244</v>
      </c>
      <c r="M584" t="s">
        <v>245</v>
      </c>
      <c r="N584">
        <v>2</v>
      </c>
      <c r="O584">
        <v>37500</v>
      </c>
      <c r="P584">
        <v>0</v>
      </c>
      <c r="Q584">
        <v>75000</v>
      </c>
      <c r="R584">
        <v>36305.800000000003</v>
      </c>
      <c r="S584">
        <v>38694.199999999997</v>
      </c>
      <c r="T584" t="s">
        <v>31</v>
      </c>
      <c r="U584" t="str">
        <f t="shared" si="27"/>
        <v>2024-03</v>
      </c>
      <c r="V584">
        <f t="shared" si="28"/>
        <v>5</v>
      </c>
      <c r="W584" s="2">
        <f t="shared" si="29"/>
        <v>0.51592266666666664</v>
      </c>
    </row>
    <row r="585" spans="1:23">
      <c r="A585" t="s">
        <v>1258</v>
      </c>
      <c r="B585" s="1">
        <v>45358</v>
      </c>
      <c r="C585" s="1">
        <v>45363</v>
      </c>
      <c r="D585" t="s">
        <v>1193</v>
      </c>
      <c r="E585" t="s">
        <v>1074</v>
      </c>
      <c r="F585" t="s">
        <v>35</v>
      </c>
      <c r="G585" t="s">
        <v>156</v>
      </c>
      <c r="H585" t="s">
        <v>157</v>
      </c>
      <c r="I585" t="s">
        <v>57</v>
      </c>
      <c r="J585" t="s">
        <v>36</v>
      </c>
      <c r="K585" t="s">
        <v>89</v>
      </c>
      <c r="L585" t="s">
        <v>151</v>
      </c>
      <c r="M585" t="s">
        <v>152</v>
      </c>
      <c r="N585">
        <v>1</v>
      </c>
      <c r="O585">
        <v>1307100</v>
      </c>
      <c r="P585">
        <v>0.05</v>
      </c>
      <c r="Q585">
        <v>1241745</v>
      </c>
      <c r="R585">
        <v>855948.35</v>
      </c>
      <c r="S585">
        <v>385796.65</v>
      </c>
      <c r="T585" t="s">
        <v>40</v>
      </c>
      <c r="U585" t="str">
        <f t="shared" si="27"/>
        <v>2024-03</v>
      </c>
      <c r="V585">
        <f t="shared" si="28"/>
        <v>5</v>
      </c>
      <c r="W585" s="2">
        <f t="shared" si="29"/>
        <v>0.31068911088830642</v>
      </c>
    </row>
    <row r="586" spans="1:23">
      <c r="A586" t="s">
        <v>1259</v>
      </c>
      <c r="B586" s="1">
        <v>45200</v>
      </c>
      <c r="C586" s="1">
        <v>45206</v>
      </c>
      <c r="D586" t="s">
        <v>365</v>
      </c>
      <c r="E586" t="s">
        <v>917</v>
      </c>
      <c r="F586" t="s">
        <v>54</v>
      </c>
      <c r="G586" t="s">
        <v>140</v>
      </c>
      <c r="H586" t="s">
        <v>141</v>
      </c>
      <c r="I586" t="s">
        <v>46</v>
      </c>
      <c r="J586" t="s">
        <v>27</v>
      </c>
      <c r="K586" t="s">
        <v>116</v>
      </c>
      <c r="L586" t="s">
        <v>207</v>
      </c>
      <c r="M586" t="s">
        <v>208</v>
      </c>
      <c r="N586">
        <v>2</v>
      </c>
      <c r="O586">
        <v>126200</v>
      </c>
      <c r="P586">
        <v>0.15</v>
      </c>
      <c r="Q586">
        <v>214540</v>
      </c>
      <c r="R586">
        <v>150934.87</v>
      </c>
      <c r="S586">
        <v>63605.13</v>
      </c>
      <c r="T586" t="s">
        <v>73</v>
      </c>
      <c r="U586" t="str">
        <f t="shared" si="27"/>
        <v>2023-10</v>
      </c>
      <c r="V586">
        <f t="shared" si="28"/>
        <v>6</v>
      </c>
      <c r="W586" s="2">
        <f t="shared" si="29"/>
        <v>0.29647212640999349</v>
      </c>
    </row>
    <row r="587" spans="1:23">
      <c r="A587" t="s">
        <v>1260</v>
      </c>
      <c r="B587" s="1">
        <v>45085</v>
      </c>
      <c r="C587" s="1">
        <v>45090</v>
      </c>
      <c r="D587" t="s">
        <v>662</v>
      </c>
      <c r="E587" t="s">
        <v>273</v>
      </c>
      <c r="F587" t="s">
        <v>23</v>
      </c>
      <c r="G587" t="s">
        <v>44</v>
      </c>
      <c r="H587" t="s">
        <v>45</v>
      </c>
      <c r="I587" t="s">
        <v>46</v>
      </c>
      <c r="J587" t="s">
        <v>47</v>
      </c>
      <c r="K587" t="s">
        <v>128</v>
      </c>
      <c r="L587" t="s">
        <v>129</v>
      </c>
      <c r="M587" t="s">
        <v>130</v>
      </c>
      <c r="N587">
        <v>5</v>
      </c>
      <c r="O587">
        <v>1419200</v>
      </c>
      <c r="P587">
        <v>0</v>
      </c>
      <c r="Q587">
        <v>7096000</v>
      </c>
      <c r="R587">
        <v>5363735.8600000003</v>
      </c>
      <c r="S587">
        <v>1732264.14</v>
      </c>
      <c r="T587" t="s">
        <v>40</v>
      </c>
      <c r="U587" t="str">
        <f t="shared" si="27"/>
        <v>2023-06</v>
      </c>
      <c r="V587">
        <f t="shared" si="28"/>
        <v>5</v>
      </c>
      <c r="W587" s="2">
        <f t="shared" si="29"/>
        <v>0.24411839627959411</v>
      </c>
    </row>
    <row r="588" spans="1:23">
      <c r="A588" t="s">
        <v>1261</v>
      </c>
      <c r="B588" s="1">
        <v>45685</v>
      </c>
      <c r="C588" s="1">
        <v>45687</v>
      </c>
      <c r="D588" t="s">
        <v>784</v>
      </c>
      <c r="E588" t="s">
        <v>1106</v>
      </c>
      <c r="F588" t="s">
        <v>35</v>
      </c>
      <c r="G588" t="s">
        <v>140</v>
      </c>
      <c r="H588" t="s">
        <v>141</v>
      </c>
      <c r="I588" t="s">
        <v>46</v>
      </c>
      <c r="J588" t="s">
        <v>36</v>
      </c>
      <c r="K588" t="s">
        <v>81</v>
      </c>
      <c r="L588" t="s">
        <v>82</v>
      </c>
      <c r="M588" t="s">
        <v>83</v>
      </c>
      <c r="N588">
        <v>1</v>
      </c>
      <c r="O588">
        <v>701700</v>
      </c>
      <c r="P588">
        <v>0.1</v>
      </c>
      <c r="Q588">
        <v>631530</v>
      </c>
      <c r="R588">
        <v>473830</v>
      </c>
      <c r="S588">
        <v>157700</v>
      </c>
      <c r="T588" t="s">
        <v>60</v>
      </c>
      <c r="U588" t="str">
        <f t="shared" si="27"/>
        <v>2025-01</v>
      </c>
      <c r="V588">
        <f t="shared" si="28"/>
        <v>2</v>
      </c>
      <c r="W588" s="2">
        <f t="shared" si="29"/>
        <v>0.24971101927066014</v>
      </c>
    </row>
    <row r="589" spans="1:23">
      <c r="A589" t="s">
        <v>1262</v>
      </c>
      <c r="B589" s="1">
        <v>45670</v>
      </c>
      <c r="C589" s="1">
        <v>45671</v>
      </c>
      <c r="D589" t="s">
        <v>195</v>
      </c>
      <c r="E589" t="s">
        <v>1205</v>
      </c>
      <c r="F589" t="s">
        <v>23</v>
      </c>
      <c r="G589" t="s">
        <v>140</v>
      </c>
      <c r="H589" t="s">
        <v>141</v>
      </c>
      <c r="I589" t="s">
        <v>46</v>
      </c>
      <c r="J589" t="s">
        <v>47</v>
      </c>
      <c r="K589" t="s">
        <v>173</v>
      </c>
      <c r="L589" t="s">
        <v>174</v>
      </c>
      <c r="M589" t="s">
        <v>175</v>
      </c>
      <c r="N589">
        <v>1</v>
      </c>
      <c r="O589">
        <v>4516800</v>
      </c>
      <c r="P589">
        <v>0.05</v>
      </c>
      <c r="Q589">
        <v>4290960</v>
      </c>
      <c r="R589">
        <v>3293296.07</v>
      </c>
      <c r="S589">
        <v>997663.93</v>
      </c>
      <c r="T589" t="s">
        <v>40</v>
      </c>
      <c r="U589" t="str">
        <f t="shared" si="27"/>
        <v>2025-01</v>
      </c>
      <c r="V589">
        <f t="shared" si="28"/>
        <v>1</v>
      </c>
      <c r="W589" s="2">
        <f t="shared" si="29"/>
        <v>0.23250366584633742</v>
      </c>
    </row>
    <row r="590" spans="1:23">
      <c r="A590" t="s">
        <v>1263</v>
      </c>
      <c r="B590" s="1">
        <v>45286</v>
      </c>
      <c r="C590" s="1">
        <v>45287</v>
      </c>
      <c r="D590" t="s">
        <v>523</v>
      </c>
      <c r="E590" t="s">
        <v>1264</v>
      </c>
      <c r="F590" t="s">
        <v>23</v>
      </c>
      <c r="G590" t="s">
        <v>44</v>
      </c>
      <c r="H590" t="s">
        <v>45</v>
      </c>
      <c r="I590" t="s">
        <v>46</v>
      </c>
      <c r="J590" t="s">
        <v>36</v>
      </c>
      <c r="K590" t="s">
        <v>37</v>
      </c>
      <c r="L590" t="s">
        <v>58</v>
      </c>
      <c r="M590" t="s">
        <v>59</v>
      </c>
      <c r="N590">
        <v>5</v>
      </c>
      <c r="O590">
        <v>922500</v>
      </c>
      <c r="P590">
        <v>0</v>
      </c>
      <c r="Q590">
        <v>4612500</v>
      </c>
      <c r="R590">
        <v>3178602.33</v>
      </c>
      <c r="S590">
        <v>1433897.67</v>
      </c>
      <c r="T590" t="s">
        <v>73</v>
      </c>
      <c r="U590" t="str">
        <f t="shared" si="27"/>
        <v>2023-12</v>
      </c>
      <c r="V590">
        <f t="shared" si="28"/>
        <v>1</v>
      </c>
      <c r="W590" s="2">
        <f t="shared" si="29"/>
        <v>0.31087212357723576</v>
      </c>
    </row>
    <row r="591" spans="1:23">
      <c r="A591" t="s">
        <v>1265</v>
      </c>
      <c r="B591" s="1">
        <v>46018</v>
      </c>
      <c r="C591" s="1">
        <v>46023</v>
      </c>
      <c r="D591" t="s">
        <v>462</v>
      </c>
      <c r="E591" t="s">
        <v>1266</v>
      </c>
      <c r="F591" t="s">
        <v>54</v>
      </c>
      <c r="G591" t="s">
        <v>140</v>
      </c>
      <c r="H591" t="s">
        <v>141</v>
      </c>
      <c r="I591" t="s">
        <v>46</v>
      </c>
      <c r="J591" t="s">
        <v>47</v>
      </c>
      <c r="K591" t="s">
        <v>128</v>
      </c>
      <c r="L591" t="s">
        <v>129</v>
      </c>
      <c r="M591" t="s">
        <v>130</v>
      </c>
      <c r="N591">
        <v>5</v>
      </c>
      <c r="O591">
        <v>1408000</v>
      </c>
      <c r="P591">
        <v>0.2</v>
      </c>
      <c r="Q591">
        <v>5632000</v>
      </c>
      <c r="R591">
        <v>5083468.43</v>
      </c>
      <c r="S591">
        <v>548531.56999999995</v>
      </c>
      <c r="T591" t="s">
        <v>31</v>
      </c>
      <c r="U591" t="str">
        <f t="shared" si="27"/>
        <v>2025-12</v>
      </c>
      <c r="V591">
        <f t="shared" si="28"/>
        <v>5</v>
      </c>
      <c r="W591" s="2">
        <f t="shared" si="29"/>
        <v>9.7395520241477268E-2</v>
      </c>
    </row>
    <row r="592" spans="1:23">
      <c r="A592" t="s">
        <v>1267</v>
      </c>
      <c r="B592" s="1">
        <v>45882</v>
      </c>
      <c r="C592" s="1">
        <v>45886</v>
      </c>
      <c r="D592" t="s">
        <v>949</v>
      </c>
      <c r="E592" t="s">
        <v>1063</v>
      </c>
      <c r="F592" t="s">
        <v>23</v>
      </c>
      <c r="G592" t="s">
        <v>24</v>
      </c>
      <c r="H592" t="s">
        <v>25</v>
      </c>
      <c r="I592" t="s">
        <v>26</v>
      </c>
      <c r="J592" t="s">
        <v>36</v>
      </c>
      <c r="K592" t="s">
        <v>81</v>
      </c>
      <c r="L592" t="s">
        <v>215</v>
      </c>
      <c r="M592" t="s">
        <v>216</v>
      </c>
      <c r="N592">
        <v>2</v>
      </c>
      <c r="O592">
        <v>1696800</v>
      </c>
      <c r="P592">
        <v>0.05</v>
      </c>
      <c r="Q592">
        <v>3223920</v>
      </c>
      <c r="R592">
        <v>2225243.79</v>
      </c>
      <c r="S592">
        <v>998676.21</v>
      </c>
      <c r="T592" t="s">
        <v>40</v>
      </c>
      <c r="U592" t="str">
        <f t="shared" si="27"/>
        <v>2025-08</v>
      </c>
      <c r="V592">
        <f t="shared" si="28"/>
        <v>4</v>
      </c>
      <c r="W592" s="2">
        <f t="shared" si="29"/>
        <v>0.30977077905158934</v>
      </c>
    </row>
    <row r="593" spans="1:23">
      <c r="A593" t="s">
        <v>1268</v>
      </c>
      <c r="B593" s="1">
        <v>45794</v>
      </c>
      <c r="C593" s="1">
        <v>45795</v>
      </c>
      <c r="D593" t="s">
        <v>410</v>
      </c>
      <c r="E593" t="s">
        <v>1166</v>
      </c>
      <c r="F593" t="s">
        <v>23</v>
      </c>
      <c r="G593" t="s">
        <v>80</v>
      </c>
      <c r="H593" t="s">
        <v>45</v>
      </c>
      <c r="I593" t="s">
        <v>46</v>
      </c>
      <c r="J593" t="s">
        <v>27</v>
      </c>
      <c r="K593" t="s">
        <v>28</v>
      </c>
      <c r="L593" t="s">
        <v>29</v>
      </c>
      <c r="M593" t="s">
        <v>30</v>
      </c>
      <c r="N593">
        <v>3</v>
      </c>
      <c r="O593">
        <v>62600</v>
      </c>
      <c r="P593">
        <v>0.05</v>
      </c>
      <c r="Q593">
        <v>178410</v>
      </c>
      <c r="R593">
        <v>106994.5</v>
      </c>
      <c r="S593">
        <v>71415.5</v>
      </c>
      <c r="T593" t="s">
        <v>31</v>
      </c>
      <c r="U593" t="str">
        <f t="shared" si="27"/>
        <v>2025-05</v>
      </c>
      <c r="V593">
        <f t="shared" si="28"/>
        <v>1</v>
      </c>
      <c r="W593" s="2">
        <f t="shared" si="29"/>
        <v>0.40028866094949833</v>
      </c>
    </row>
    <row r="594" spans="1:23">
      <c r="A594" t="s">
        <v>1269</v>
      </c>
      <c r="B594" s="1">
        <v>45433</v>
      </c>
      <c r="C594" s="1">
        <v>45434</v>
      </c>
      <c r="D594" t="s">
        <v>812</v>
      </c>
      <c r="E594" t="s">
        <v>1270</v>
      </c>
      <c r="F594" t="s">
        <v>35</v>
      </c>
      <c r="G594" t="s">
        <v>140</v>
      </c>
      <c r="H594" t="s">
        <v>141</v>
      </c>
      <c r="I594" t="s">
        <v>46</v>
      </c>
      <c r="J594" t="s">
        <v>36</v>
      </c>
      <c r="K594" t="s">
        <v>89</v>
      </c>
      <c r="L594" t="s">
        <v>151</v>
      </c>
      <c r="M594" t="s">
        <v>152</v>
      </c>
      <c r="N594">
        <v>8</v>
      </c>
      <c r="O594">
        <v>1338300</v>
      </c>
      <c r="P594">
        <v>0.1</v>
      </c>
      <c r="Q594">
        <v>9635760</v>
      </c>
      <c r="R594">
        <v>7527166.4800000004</v>
      </c>
      <c r="S594">
        <v>2108593.52</v>
      </c>
      <c r="T594" t="s">
        <v>73</v>
      </c>
      <c r="U594" t="str">
        <f t="shared" si="27"/>
        <v>2024-05</v>
      </c>
      <c r="V594">
        <f t="shared" si="28"/>
        <v>1</v>
      </c>
      <c r="W594" s="2">
        <f t="shared" si="29"/>
        <v>0.21883001652178966</v>
      </c>
    </row>
    <row r="595" spans="1:23">
      <c r="A595" t="s">
        <v>1271</v>
      </c>
      <c r="B595" s="1">
        <v>45102</v>
      </c>
      <c r="C595" s="1">
        <v>45103</v>
      </c>
      <c r="D595" t="s">
        <v>1272</v>
      </c>
      <c r="E595" t="s">
        <v>352</v>
      </c>
      <c r="F595" t="s">
        <v>54</v>
      </c>
      <c r="G595" t="s">
        <v>156</v>
      </c>
      <c r="H595" t="s">
        <v>157</v>
      </c>
      <c r="I595" t="s">
        <v>57</v>
      </c>
      <c r="J595" t="s">
        <v>27</v>
      </c>
      <c r="K595" t="s">
        <v>116</v>
      </c>
      <c r="L595" t="s">
        <v>117</v>
      </c>
      <c r="M595" t="s">
        <v>118</v>
      </c>
      <c r="N595">
        <v>4</v>
      </c>
      <c r="O595">
        <v>24700</v>
      </c>
      <c r="P595">
        <v>0.15</v>
      </c>
      <c r="Q595">
        <v>83980</v>
      </c>
      <c r="R595">
        <v>46336.22</v>
      </c>
      <c r="S595">
        <v>37643.78</v>
      </c>
      <c r="T595" t="s">
        <v>31</v>
      </c>
      <c r="U595" t="str">
        <f t="shared" si="27"/>
        <v>2023-06</v>
      </c>
      <c r="V595">
        <f t="shared" si="28"/>
        <v>1</v>
      </c>
      <c r="W595" s="2">
        <f t="shared" si="29"/>
        <v>0.44824696356275301</v>
      </c>
    </row>
    <row r="596" spans="1:23">
      <c r="A596" t="s">
        <v>1273</v>
      </c>
      <c r="B596" s="1">
        <v>45041</v>
      </c>
      <c r="C596" s="1">
        <v>45046</v>
      </c>
      <c r="D596" t="s">
        <v>299</v>
      </c>
      <c r="E596" t="s">
        <v>121</v>
      </c>
      <c r="F596" t="s">
        <v>23</v>
      </c>
      <c r="G596" t="s">
        <v>169</v>
      </c>
      <c r="H596" t="s">
        <v>157</v>
      </c>
      <c r="I596" t="s">
        <v>57</v>
      </c>
      <c r="J596" t="s">
        <v>47</v>
      </c>
      <c r="K596" t="s">
        <v>48</v>
      </c>
      <c r="L596" t="s">
        <v>225</v>
      </c>
      <c r="M596" t="s">
        <v>226</v>
      </c>
      <c r="N596">
        <v>1</v>
      </c>
      <c r="O596">
        <v>237300</v>
      </c>
      <c r="P596">
        <v>0.1</v>
      </c>
      <c r="Q596">
        <v>213570</v>
      </c>
      <c r="R596">
        <v>135457.32</v>
      </c>
      <c r="S596">
        <v>78112.679999999993</v>
      </c>
      <c r="T596" t="s">
        <v>40</v>
      </c>
      <c r="U596" t="str">
        <f t="shared" si="27"/>
        <v>2023-04</v>
      </c>
      <c r="V596">
        <f t="shared" si="28"/>
        <v>5</v>
      </c>
      <c r="W596" s="2">
        <f t="shared" si="29"/>
        <v>0.36574743643770191</v>
      </c>
    </row>
    <row r="597" spans="1:23">
      <c r="A597" t="s">
        <v>1274</v>
      </c>
      <c r="B597" s="1">
        <v>45803</v>
      </c>
      <c r="C597" s="1">
        <v>45808</v>
      </c>
      <c r="D597" t="s">
        <v>195</v>
      </c>
      <c r="E597" t="s">
        <v>874</v>
      </c>
      <c r="F597" t="s">
        <v>23</v>
      </c>
      <c r="G597" t="s">
        <v>140</v>
      </c>
      <c r="H597" t="s">
        <v>141</v>
      </c>
      <c r="I597" t="s">
        <v>46</v>
      </c>
      <c r="J597" t="s">
        <v>36</v>
      </c>
      <c r="K597" t="s">
        <v>89</v>
      </c>
      <c r="L597" t="s">
        <v>151</v>
      </c>
      <c r="M597" t="s">
        <v>152</v>
      </c>
      <c r="N597">
        <v>3</v>
      </c>
      <c r="O597">
        <v>1154700</v>
      </c>
      <c r="P597">
        <v>0</v>
      </c>
      <c r="Q597">
        <v>3464100</v>
      </c>
      <c r="R597">
        <v>2420118.56</v>
      </c>
      <c r="S597">
        <v>1043981.44</v>
      </c>
      <c r="T597" t="s">
        <v>60</v>
      </c>
      <c r="U597" t="str">
        <f t="shared" si="27"/>
        <v>2025-05</v>
      </c>
      <c r="V597">
        <f t="shared" si="28"/>
        <v>5</v>
      </c>
      <c r="W597" s="2">
        <f t="shared" si="29"/>
        <v>0.30137162322103866</v>
      </c>
    </row>
    <row r="598" spans="1:23">
      <c r="A598" t="s">
        <v>1275</v>
      </c>
      <c r="B598" s="1">
        <v>45185</v>
      </c>
      <c r="C598" s="1">
        <v>45191</v>
      </c>
      <c r="D598" t="s">
        <v>278</v>
      </c>
      <c r="E598" t="s">
        <v>386</v>
      </c>
      <c r="F598" t="s">
        <v>23</v>
      </c>
      <c r="G598" t="s">
        <v>169</v>
      </c>
      <c r="H598" t="s">
        <v>157</v>
      </c>
      <c r="I598" t="s">
        <v>57</v>
      </c>
      <c r="J598" t="s">
        <v>36</v>
      </c>
      <c r="K598" t="s">
        <v>89</v>
      </c>
      <c r="L598" t="s">
        <v>151</v>
      </c>
      <c r="M598" t="s">
        <v>152</v>
      </c>
      <c r="N598">
        <v>1</v>
      </c>
      <c r="O598">
        <v>1162900</v>
      </c>
      <c r="P598">
        <v>0</v>
      </c>
      <c r="Q598">
        <v>1162900</v>
      </c>
      <c r="R598">
        <v>753118.45</v>
      </c>
      <c r="S598">
        <v>409781.55</v>
      </c>
      <c r="T598" t="s">
        <v>40</v>
      </c>
      <c r="U598" t="str">
        <f t="shared" si="27"/>
        <v>2023-09</v>
      </c>
      <c r="V598">
        <f t="shared" si="28"/>
        <v>6</v>
      </c>
      <c r="W598" s="2">
        <f t="shared" si="29"/>
        <v>0.35237900937311889</v>
      </c>
    </row>
    <row r="599" spans="1:23">
      <c r="A599" t="s">
        <v>1276</v>
      </c>
      <c r="B599" s="1">
        <v>45659</v>
      </c>
      <c r="C599" s="1">
        <v>45662</v>
      </c>
      <c r="D599" t="s">
        <v>893</v>
      </c>
      <c r="E599" t="s">
        <v>99</v>
      </c>
      <c r="F599" t="s">
        <v>23</v>
      </c>
      <c r="G599" t="s">
        <v>80</v>
      </c>
      <c r="H599" t="s">
        <v>45</v>
      </c>
      <c r="I599" t="s">
        <v>46</v>
      </c>
      <c r="J599" t="s">
        <v>36</v>
      </c>
      <c r="K599" t="s">
        <v>37</v>
      </c>
      <c r="L599" t="s">
        <v>38</v>
      </c>
      <c r="M599" t="s">
        <v>39</v>
      </c>
      <c r="N599">
        <v>3</v>
      </c>
      <c r="O599">
        <v>944800</v>
      </c>
      <c r="P599">
        <v>0.3</v>
      </c>
      <c r="Q599">
        <v>1984080</v>
      </c>
      <c r="R599">
        <v>1960732.95</v>
      </c>
      <c r="S599">
        <v>23347.05</v>
      </c>
      <c r="T599" t="s">
        <v>60</v>
      </c>
      <c r="U599" t="str">
        <f t="shared" si="27"/>
        <v>2025-01</v>
      </c>
      <c r="V599">
        <f t="shared" si="28"/>
        <v>3</v>
      </c>
      <c r="W599" s="2">
        <f t="shared" si="29"/>
        <v>1.176719184710294E-2</v>
      </c>
    </row>
    <row r="600" spans="1:23">
      <c r="A600" t="s">
        <v>1277</v>
      </c>
      <c r="B600" s="1">
        <v>45965</v>
      </c>
      <c r="C600" s="1">
        <v>45972</v>
      </c>
      <c r="D600" t="s">
        <v>494</v>
      </c>
      <c r="E600" t="s">
        <v>196</v>
      </c>
      <c r="F600" t="s">
        <v>23</v>
      </c>
      <c r="G600" t="s">
        <v>169</v>
      </c>
      <c r="H600" t="s">
        <v>157</v>
      </c>
      <c r="I600" t="s">
        <v>57</v>
      </c>
      <c r="J600" t="s">
        <v>27</v>
      </c>
      <c r="K600" t="s">
        <v>100</v>
      </c>
      <c r="L600" t="s">
        <v>101</v>
      </c>
      <c r="M600" t="s">
        <v>102</v>
      </c>
      <c r="N600">
        <v>3</v>
      </c>
      <c r="O600">
        <v>54800</v>
      </c>
      <c r="P600">
        <v>0</v>
      </c>
      <c r="Q600">
        <v>164400</v>
      </c>
      <c r="R600">
        <v>88124.800000000003</v>
      </c>
      <c r="S600">
        <v>76275.199999999997</v>
      </c>
      <c r="T600" t="s">
        <v>73</v>
      </c>
      <c r="U600" t="str">
        <f t="shared" si="27"/>
        <v>2025-11</v>
      </c>
      <c r="V600">
        <f t="shared" si="28"/>
        <v>7</v>
      </c>
      <c r="W600" s="2">
        <f t="shared" si="29"/>
        <v>0.46396107055961067</v>
      </c>
    </row>
    <row r="601" spans="1:23">
      <c r="A601" t="s">
        <v>1278</v>
      </c>
      <c r="B601" s="1">
        <v>45884</v>
      </c>
      <c r="C601" s="1">
        <v>45889</v>
      </c>
      <c r="D601" t="s">
        <v>610</v>
      </c>
      <c r="E601" t="s">
        <v>408</v>
      </c>
      <c r="F601" t="s">
        <v>23</v>
      </c>
      <c r="G601" t="s">
        <v>55</v>
      </c>
      <c r="H601" t="s">
        <v>56</v>
      </c>
      <c r="I601" t="s">
        <v>57</v>
      </c>
      <c r="J601" t="s">
        <v>27</v>
      </c>
      <c r="K601" t="s">
        <v>179</v>
      </c>
      <c r="L601" t="s">
        <v>180</v>
      </c>
      <c r="M601" t="s">
        <v>181</v>
      </c>
      <c r="N601">
        <v>1</v>
      </c>
      <c r="O601">
        <v>56000</v>
      </c>
      <c r="P601">
        <v>0.15</v>
      </c>
      <c r="Q601">
        <v>47600</v>
      </c>
      <c r="R601">
        <v>28358.79</v>
      </c>
      <c r="S601">
        <v>19241.21</v>
      </c>
      <c r="T601" t="s">
        <v>60</v>
      </c>
      <c r="U601" t="str">
        <f t="shared" si="27"/>
        <v>2025-08</v>
      </c>
      <c r="V601">
        <f t="shared" si="28"/>
        <v>5</v>
      </c>
      <c r="W601" s="2">
        <f t="shared" si="29"/>
        <v>0.40422710084033614</v>
      </c>
    </row>
    <row r="602" spans="1:23">
      <c r="A602" t="s">
        <v>1279</v>
      </c>
      <c r="B602" s="1">
        <v>45383</v>
      </c>
      <c r="C602" s="1">
        <v>45389</v>
      </c>
      <c r="D602" t="s">
        <v>733</v>
      </c>
      <c r="E602" t="s">
        <v>1280</v>
      </c>
      <c r="F602" t="s">
        <v>23</v>
      </c>
      <c r="G602" t="s">
        <v>24</v>
      </c>
      <c r="H602" t="s">
        <v>25</v>
      </c>
      <c r="I602" t="s">
        <v>26</v>
      </c>
      <c r="J602" t="s">
        <v>47</v>
      </c>
      <c r="K602" t="s">
        <v>173</v>
      </c>
      <c r="L602" t="s">
        <v>174</v>
      </c>
      <c r="M602" t="s">
        <v>175</v>
      </c>
      <c r="N602">
        <v>4</v>
      </c>
      <c r="O602">
        <v>4618700</v>
      </c>
      <c r="P602">
        <v>0.05</v>
      </c>
      <c r="Q602">
        <v>17551060</v>
      </c>
      <c r="R602">
        <v>14651314.91</v>
      </c>
      <c r="S602">
        <v>2899745.09</v>
      </c>
      <c r="T602" t="s">
        <v>60</v>
      </c>
      <c r="U602" t="str">
        <f t="shared" si="27"/>
        <v>2024-04</v>
      </c>
      <c r="V602">
        <f t="shared" si="28"/>
        <v>6</v>
      </c>
      <c r="W602" s="2">
        <f t="shared" si="29"/>
        <v>0.16521766149736825</v>
      </c>
    </row>
    <row r="603" spans="1:23">
      <c r="A603" t="s">
        <v>1281</v>
      </c>
      <c r="B603" s="1">
        <v>45078</v>
      </c>
      <c r="C603" s="1">
        <v>45081</v>
      </c>
      <c r="D603" t="s">
        <v>269</v>
      </c>
      <c r="E603" t="s">
        <v>1176</v>
      </c>
      <c r="F603" t="s">
        <v>23</v>
      </c>
      <c r="G603" t="s">
        <v>80</v>
      </c>
      <c r="H603" t="s">
        <v>45</v>
      </c>
      <c r="I603" t="s">
        <v>46</v>
      </c>
      <c r="J603" t="s">
        <v>47</v>
      </c>
      <c r="K603" t="s">
        <v>142</v>
      </c>
      <c r="L603" t="s">
        <v>143</v>
      </c>
      <c r="M603" t="s">
        <v>144</v>
      </c>
      <c r="N603">
        <v>3</v>
      </c>
      <c r="O603">
        <v>6714900</v>
      </c>
      <c r="P603">
        <v>0.05</v>
      </c>
      <c r="Q603">
        <v>19137465</v>
      </c>
      <c r="R603">
        <v>17353292.530000001</v>
      </c>
      <c r="S603">
        <v>1784172.47</v>
      </c>
      <c r="T603" t="s">
        <v>73</v>
      </c>
      <c r="U603" t="str">
        <f t="shared" si="27"/>
        <v>2023-06</v>
      </c>
      <c r="V603">
        <f t="shared" si="28"/>
        <v>3</v>
      </c>
      <c r="W603" s="2">
        <f t="shared" si="29"/>
        <v>9.3229300223409944E-2</v>
      </c>
    </row>
    <row r="604" spans="1:23">
      <c r="A604" t="s">
        <v>1282</v>
      </c>
      <c r="B604" s="1">
        <v>45283</v>
      </c>
      <c r="C604" s="1">
        <v>45285</v>
      </c>
      <c r="D604" t="s">
        <v>1283</v>
      </c>
      <c r="E604" t="s">
        <v>889</v>
      </c>
      <c r="F604" t="s">
        <v>54</v>
      </c>
      <c r="G604" t="s">
        <v>156</v>
      </c>
      <c r="H604" t="s">
        <v>157</v>
      </c>
      <c r="I604" t="s">
        <v>57</v>
      </c>
      <c r="J604" t="s">
        <v>27</v>
      </c>
      <c r="K604" t="s">
        <v>28</v>
      </c>
      <c r="L604" t="s">
        <v>71</v>
      </c>
      <c r="M604" t="s">
        <v>72</v>
      </c>
      <c r="N604">
        <v>1</v>
      </c>
      <c r="O604">
        <v>40700</v>
      </c>
      <c r="P604">
        <v>0.2</v>
      </c>
      <c r="Q604">
        <v>32560</v>
      </c>
      <c r="R604">
        <v>22611.29</v>
      </c>
      <c r="S604">
        <v>9948.7099999999991</v>
      </c>
      <c r="T604" t="s">
        <v>73</v>
      </c>
      <c r="U604" t="str">
        <f t="shared" si="27"/>
        <v>2023-12</v>
      </c>
      <c r="V604">
        <f t="shared" si="28"/>
        <v>2</v>
      </c>
      <c r="W604" s="2">
        <f t="shared" si="29"/>
        <v>0.30555006142506141</v>
      </c>
    </row>
    <row r="605" spans="1:23">
      <c r="A605" t="s">
        <v>1284</v>
      </c>
      <c r="B605" s="1">
        <v>45208</v>
      </c>
      <c r="C605" s="1">
        <v>45212</v>
      </c>
      <c r="D605" t="s">
        <v>177</v>
      </c>
      <c r="E605" t="s">
        <v>1285</v>
      </c>
      <c r="F605" t="s">
        <v>54</v>
      </c>
      <c r="G605" t="s">
        <v>156</v>
      </c>
      <c r="H605" t="s">
        <v>157</v>
      </c>
      <c r="I605" t="s">
        <v>57</v>
      </c>
      <c r="J605" t="s">
        <v>27</v>
      </c>
      <c r="K605" t="s">
        <v>100</v>
      </c>
      <c r="L605" t="s">
        <v>105</v>
      </c>
      <c r="M605" t="s">
        <v>106</v>
      </c>
      <c r="N605">
        <v>2</v>
      </c>
      <c r="O605">
        <v>74600</v>
      </c>
      <c r="P605">
        <v>0.05</v>
      </c>
      <c r="Q605">
        <v>141740</v>
      </c>
      <c r="R605">
        <v>84136.94</v>
      </c>
      <c r="S605">
        <v>57603.06</v>
      </c>
      <c r="T605" t="s">
        <v>60</v>
      </c>
      <c r="U605" t="str">
        <f t="shared" si="27"/>
        <v>2023-10</v>
      </c>
      <c r="V605">
        <f t="shared" si="28"/>
        <v>4</v>
      </c>
      <c r="W605" s="2">
        <f t="shared" si="29"/>
        <v>0.40639946380697051</v>
      </c>
    </row>
    <row r="606" spans="1:23">
      <c r="A606" t="s">
        <v>1286</v>
      </c>
      <c r="B606" s="1">
        <v>45060</v>
      </c>
      <c r="C606" s="1">
        <v>45061</v>
      </c>
      <c r="D606" t="s">
        <v>545</v>
      </c>
      <c r="E606" t="s">
        <v>1287</v>
      </c>
      <c r="F606" t="s">
        <v>23</v>
      </c>
      <c r="G606" t="s">
        <v>24</v>
      </c>
      <c r="H606" t="s">
        <v>25</v>
      </c>
      <c r="I606" t="s">
        <v>26</v>
      </c>
      <c r="J606" t="s">
        <v>47</v>
      </c>
      <c r="K606" t="s">
        <v>173</v>
      </c>
      <c r="L606" t="s">
        <v>203</v>
      </c>
      <c r="M606" t="s">
        <v>204</v>
      </c>
      <c r="N606">
        <v>3</v>
      </c>
      <c r="O606">
        <v>3103800</v>
      </c>
      <c r="P606">
        <v>0.05</v>
      </c>
      <c r="Q606">
        <v>8845830</v>
      </c>
      <c r="R606">
        <v>7308060.8899999997</v>
      </c>
      <c r="S606">
        <v>1537769.11</v>
      </c>
      <c r="T606" t="s">
        <v>40</v>
      </c>
      <c r="U606" t="str">
        <f t="shared" si="27"/>
        <v>2023-05</v>
      </c>
      <c r="V606">
        <f t="shared" si="28"/>
        <v>1</v>
      </c>
      <c r="W606" s="2">
        <f t="shared" si="29"/>
        <v>0.17384113305365353</v>
      </c>
    </row>
    <row r="607" spans="1:23">
      <c r="A607" t="s">
        <v>1288</v>
      </c>
      <c r="B607" s="1">
        <v>45314</v>
      </c>
      <c r="C607" s="1">
        <v>45321</v>
      </c>
      <c r="D607" t="s">
        <v>843</v>
      </c>
      <c r="E607" t="s">
        <v>1196</v>
      </c>
      <c r="F607" t="s">
        <v>23</v>
      </c>
      <c r="G607" t="s">
        <v>156</v>
      </c>
      <c r="H607" t="s">
        <v>157</v>
      </c>
      <c r="I607" t="s">
        <v>57</v>
      </c>
      <c r="J607" t="s">
        <v>36</v>
      </c>
      <c r="K607" t="s">
        <v>81</v>
      </c>
      <c r="L607" t="s">
        <v>82</v>
      </c>
      <c r="M607" t="s">
        <v>83</v>
      </c>
      <c r="N607">
        <v>5</v>
      </c>
      <c r="O607">
        <v>706800</v>
      </c>
      <c r="P607">
        <v>0.25</v>
      </c>
      <c r="Q607">
        <v>2650500</v>
      </c>
      <c r="R607">
        <v>2409132.79</v>
      </c>
      <c r="S607">
        <v>241367.21</v>
      </c>
      <c r="T607" t="s">
        <v>60</v>
      </c>
      <c r="U607" t="str">
        <f t="shared" si="27"/>
        <v>2024-01</v>
      </c>
      <c r="V607">
        <f t="shared" si="28"/>
        <v>7</v>
      </c>
      <c r="W607" s="2">
        <f t="shared" si="29"/>
        <v>9.106478400301829E-2</v>
      </c>
    </row>
    <row r="608" spans="1:23">
      <c r="A608" t="s">
        <v>1289</v>
      </c>
      <c r="B608" s="1">
        <v>45890</v>
      </c>
      <c r="C608" s="1">
        <v>45897</v>
      </c>
      <c r="D608" t="s">
        <v>459</v>
      </c>
      <c r="E608" t="s">
        <v>424</v>
      </c>
      <c r="F608" t="s">
        <v>23</v>
      </c>
      <c r="G608" t="s">
        <v>80</v>
      </c>
      <c r="H608" t="s">
        <v>45</v>
      </c>
      <c r="I608" t="s">
        <v>46</v>
      </c>
      <c r="J608" t="s">
        <v>27</v>
      </c>
      <c r="K608" t="s">
        <v>100</v>
      </c>
      <c r="L608" t="s">
        <v>105</v>
      </c>
      <c r="M608" t="s">
        <v>106</v>
      </c>
      <c r="N608">
        <v>2</v>
      </c>
      <c r="O608">
        <v>76200</v>
      </c>
      <c r="P608">
        <v>0.05</v>
      </c>
      <c r="Q608">
        <v>144780</v>
      </c>
      <c r="R608">
        <v>88268.63</v>
      </c>
      <c r="S608">
        <v>56511.37</v>
      </c>
      <c r="T608" t="s">
        <v>60</v>
      </c>
      <c r="U608" t="str">
        <f t="shared" si="27"/>
        <v>2025-08</v>
      </c>
      <c r="V608">
        <f t="shared" si="28"/>
        <v>7</v>
      </c>
      <c r="W608" s="2">
        <f t="shared" si="29"/>
        <v>0.39032580466915323</v>
      </c>
    </row>
    <row r="609" spans="1:23">
      <c r="A609" t="s">
        <v>1290</v>
      </c>
      <c r="B609" s="1">
        <v>45897</v>
      </c>
      <c r="C609" s="1">
        <v>45900</v>
      </c>
      <c r="D609" t="s">
        <v>629</v>
      </c>
      <c r="E609" t="s">
        <v>754</v>
      </c>
      <c r="F609" t="s">
        <v>35</v>
      </c>
      <c r="G609" t="s">
        <v>55</v>
      </c>
      <c r="H609" t="s">
        <v>56</v>
      </c>
      <c r="I609" t="s">
        <v>57</v>
      </c>
      <c r="J609" t="s">
        <v>36</v>
      </c>
      <c r="K609" t="s">
        <v>37</v>
      </c>
      <c r="L609" t="s">
        <v>58</v>
      </c>
      <c r="M609" t="s">
        <v>59</v>
      </c>
      <c r="N609">
        <v>1</v>
      </c>
      <c r="O609">
        <v>821900</v>
      </c>
      <c r="P609">
        <v>0.2</v>
      </c>
      <c r="Q609">
        <v>657520</v>
      </c>
      <c r="R609">
        <v>535018.72</v>
      </c>
      <c r="S609">
        <v>122501.28</v>
      </c>
      <c r="T609" t="s">
        <v>73</v>
      </c>
      <c r="U609" t="str">
        <f t="shared" si="27"/>
        <v>2025-08</v>
      </c>
      <c r="V609">
        <f t="shared" si="28"/>
        <v>3</v>
      </c>
      <c r="W609" s="2">
        <f t="shared" si="29"/>
        <v>0.18630806667477795</v>
      </c>
    </row>
    <row r="610" spans="1:23">
      <c r="A610" t="s">
        <v>1291</v>
      </c>
      <c r="B610" s="1">
        <v>45699</v>
      </c>
      <c r="C610" s="1">
        <v>45704</v>
      </c>
      <c r="D610" t="s">
        <v>560</v>
      </c>
      <c r="E610" t="s">
        <v>654</v>
      </c>
      <c r="F610" t="s">
        <v>35</v>
      </c>
      <c r="G610" t="s">
        <v>95</v>
      </c>
      <c r="H610" t="s">
        <v>96</v>
      </c>
      <c r="I610" t="s">
        <v>26</v>
      </c>
      <c r="J610" t="s">
        <v>47</v>
      </c>
      <c r="K610" t="s">
        <v>48</v>
      </c>
      <c r="L610" t="s">
        <v>49</v>
      </c>
      <c r="M610" t="s">
        <v>50</v>
      </c>
      <c r="N610">
        <v>4</v>
      </c>
      <c r="O610">
        <v>468000</v>
      </c>
      <c r="P610">
        <v>0.05</v>
      </c>
      <c r="Q610">
        <v>1778400</v>
      </c>
      <c r="R610">
        <v>1137337.93</v>
      </c>
      <c r="S610">
        <v>641062.06999999995</v>
      </c>
      <c r="T610" t="s">
        <v>73</v>
      </c>
      <c r="U610" t="str">
        <f t="shared" si="27"/>
        <v>2025-02</v>
      </c>
      <c r="V610">
        <f t="shared" si="28"/>
        <v>5</v>
      </c>
      <c r="W610" s="2">
        <f t="shared" si="29"/>
        <v>0.36047124943769676</v>
      </c>
    </row>
    <row r="611" spans="1:23">
      <c r="A611" t="s">
        <v>1292</v>
      </c>
      <c r="B611" s="1">
        <v>45615</v>
      </c>
      <c r="C611" s="1">
        <v>45619</v>
      </c>
      <c r="D611" t="s">
        <v>120</v>
      </c>
      <c r="E611" t="s">
        <v>1293</v>
      </c>
      <c r="F611" t="s">
        <v>23</v>
      </c>
      <c r="G611" t="s">
        <v>169</v>
      </c>
      <c r="H611" t="s">
        <v>157</v>
      </c>
      <c r="I611" t="s">
        <v>57</v>
      </c>
      <c r="J611" t="s">
        <v>36</v>
      </c>
      <c r="K611" t="s">
        <v>89</v>
      </c>
      <c r="L611" t="s">
        <v>90</v>
      </c>
      <c r="M611" t="s">
        <v>91</v>
      </c>
      <c r="N611">
        <v>2</v>
      </c>
      <c r="O611">
        <v>3100000</v>
      </c>
      <c r="P611">
        <v>0</v>
      </c>
      <c r="Q611">
        <v>6200000</v>
      </c>
      <c r="R611">
        <v>4254904.54</v>
      </c>
      <c r="S611">
        <v>1945095.46</v>
      </c>
      <c r="T611" t="s">
        <v>40</v>
      </c>
      <c r="U611" t="str">
        <f t="shared" si="27"/>
        <v>2024-11</v>
      </c>
      <c r="V611">
        <f t="shared" si="28"/>
        <v>4</v>
      </c>
      <c r="W611" s="2">
        <f t="shared" si="29"/>
        <v>0.31372507419354839</v>
      </c>
    </row>
    <row r="612" spans="1:23">
      <c r="A612" t="s">
        <v>1294</v>
      </c>
      <c r="B612" s="1">
        <v>45095</v>
      </c>
      <c r="C612" s="1">
        <v>45098</v>
      </c>
      <c r="D612" t="s">
        <v>1193</v>
      </c>
      <c r="E612" t="s">
        <v>1045</v>
      </c>
      <c r="F612" t="s">
        <v>54</v>
      </c>
      <c r="G612" t="s">
        <v>95</v>
      </c>
      <c r="H612" t="s">
        <v>96</v>
      </c>
      <c r="I612" t="s">
        <v>26</v>
      </c>
      <c r="J612" t="s">
        <v>27</v>
      </c>
      <c r="K612" t="s">
        <v>100</v>
      </c>
      <c r="L612" t="s">
        <v>105</v>
      </c>
      <c r="M612" t="s">
        <v>106</v>
      </c>
      <c r="N612">
        <v>1</v>
      </c>
      <c r="O612">
        <v>74400</v>
      </c>
      <c r="P612">
        <v>0.1</v>
      </c>
      <c r="Q612">
        <v>66960</v>
      </c>
      <c r="R612">
        <v>42866.7</v>
      </c>
      <c r="S612">
        <v>24093.3</v>
      </c>
      <c r="T612" t="s">
        <v>31</v>
      </c>
      <c r="U612" t="str">
        <f t="shared" si="27"/>
        <v>2023-06</v>
      </c>
      <c r="V612">
        <f t="shared" si="28"/>
        <v>3</v>
      </c>
      <c r="W612" s="2">
        <f t="shared" si="29"/>
        <v>0.35981630824372757</v>
      </c>
    </row>
    <row r="613" spans="1:23">
      <c r="A613" t="s">
        <v>1295</v>
      </c>
      <c r="B613" s="1">
        <v>45489</v>
      </c>
      <c r="C613" s="1">
        <v>45491</v>
      </c>
      <c r="D613" t="s">
        <v>218</v>
      </c>
      <c r="E613" t="s">
        <v>1296</v>
      </c>
      <c r="F613" t="s">
        <v>54</v>
      </c>
      <c r="G613" t="s">
        <v>87</v>
      </c>
      <c r="H613" t="s">
        <v>88</v>
      </c>
      <c r="I613" t="s">
        <v>46</v>
      </c>
      <c r="J613" t="s">
        <v>27</v>
      </c>
      <c r="K613" t="s">
        <v>28</v>
      </c>
      <c r="L613" t="s">
        <v>71</v>
      </c>
      <c r="M613" t="s">
        <v>72</v>
      </c>
      <c r="N613">
        <v>4</v>
      </c>
      <c r="O613">
        <v>43300</v>
      </c>
      <c r="P613">
        <v>0.05</v>
      </c>
      <c r="Q613">
        <v>164540</v>
      </c>
      <c r="R613">
        <v>97232.15</v>
      </c>
      <c r="S613">
        <v>67307.850000000006</v>
      </c>
      <c r="T613" t="s">
        <v>31</v>
      </c>
      <c r="U613" t="str">
        <f t="shared" si="27"/>
        <v>2024-07</v>
      </c>
      <c r="V613">
        <f t="shared" si="28"/>
        <v>2</v>
      </c>
      <c r="W613" s="2">
        <f t="shared" si="29"/>
        <v>0.40906679226935705</v>
      </c>
    </row>
    <row r="614" spans="1:23">
      <c r="A614" t="s">
        <v>1297</v>
      </c>
      <c r="B614" s="1">
        <v>44951</v>
      </c>
      <c r="C614" s="1">
        <v>44955</v>
      </c>
      <c r="D614" t="s">
        <v>284</v>
      </c>
      <c r="E614" t="s">
        <v>1298</v>
      </c>
      <c r="F614" t="s">
        <v>23</v>
      </c>
      <c r="G614" t="s">
        <v>169</v>
      </c>
      <c r="H614" t="s">
        <v>157</v>
      </c>
      <c r="I614" t="s">
        <v>57</v>
      </c>
      <c r="J614" t="s">
        <v>27</v>
      </c>
      <c r="K614" t="s">
        <v>28</v>
      </c>
      <c r="L614" t="s">
        <v>71</v>
      </c>
      <c r="M614" t="s">
        <v>72</v>
      </c>
      <c r="N614">
        <v>2</v>
      </c>
      <c r="O614">
        <v>45600</v>
      </c>
      <c r="P614">
        <v>0.15</v>
      </c>
      <c r="Q614">
        <v>77520</v>
      </c>
      <c r="R614">
        <v>49723.63</v>
      </c>
      <c r="S614">
        <v>27796.37</v>
      </c>
      <c r="T614" t="s">
        <v>73</v>
      </c>
      <c r="U614" t="str">
        <f t="shared" si="27"/>
        <v>2023-01</v>
      </c>
      <c r="V614">
        <f t="shared" si="28"/>
        <v>4</v>
      </c>
      <c r="W614" s="2">
        <f t="shared" si="29"/>
        <v>0.35857030443756449</v>
      </c>
    </row>
    <row r="615" spans="1:23">
      <c r="A615" t="s">
        <v>1299</v>
      </c>
      <c r="B615" s="1">
        <v>45102</v>
      </c>
      <c r="C615" s="1">
        <v>45105</v>
      </c>
      <c r="D615" t="s">
        <v>629</v>
      </c>
      <c r="E615" t="s">
        <v>909</v>
      </c>
      <c r="F615" t="s">
        <v>23</v>
      </c>
      <c r="G615" t="s">
        <v>169</v>
      </c>
      <c r="H615" t="s">
        <v>157</v>
      </c>
      <c r="I615" t="s">
        <v>57</v>
      </c>
      <c r="J615" t="s">
        <v>27</v>
      </c>
      <c r="K615" t="s">
        <v>116</v>
      </c>
      <c r="L615" t="s">
        <v>117</v>
      </c>
      <c r="M615" t="s">
        <v>118</v>
      </c>
      <c r="N615">
        <v>5</v>
      </c>
      <c r="O615">
        <v>24500</v>
      </c>
      <c r="P615">
        <v>0</v>
      </c>
      <c r="Q615">
        <v>122500</v>
      </c>
      <c r="R615">
        <v>63841.84</v>
      </c>
      <c r="S615">
        <v>58658.16</v>
      </c>
      <c r="T615" t="s">
        <v>40</v>
      </c>
      <c r="U615" t="str">
        <f t="shared" si="27"/>
        <v>2023-06</v>
      </c>
      <c r="V615">
        <f t="shared" si="28"/>
        <v>3</v>
      </c>
      <c r="W615" s="2">
        <f t="shared" si="29"/>
        <v>0.47884212244897961</v>
      </c>
    </row>
    <row r="616" spans="1:23">
      <c r="A616" t="s">
        <v>1300</v>
      </c>
      <c r="B616" s="1">
        <v>45950</v>
      </c>
      <c r="C616" s="1">
        <v>45957</v>
      </c>
      <c r="D616" t="s">
        <v>242</v>
      </c>
      <c r="E616" t="s">
        <v>1058</v>
      </c>
      <c r="F616" t="s">
        <v>23</v>
      </c>
      <c r="G616" t="s">
        <v>156</v>
      </c>
      <c r="H616" t="s">
        <v>157</v>
      </c>
      <c r="I616" t="s">
        <v>57</v>
      </c>
      <c r="J616" t="s">
        <v>27</v>
      </c>
      <c r="K616" t="s">
        <v>179</v>
      </c>
      <c r="L616" t="s">
        <v>180</v>
      </c>
      <c r="M616" t="s">
        <v>181</v>
      </c>
      <c r="N616">
        <v>3</v>
      </c>
      <c r="O616">
        <v>55400</v>
      </c>
      <c r="P616">
        <v>0.15</v>
      </c>
      <c r="Q616">
        <v>141270</v>
      </c>
      <c r="R616">
        <v>89837.9</v>
      </c>
      <c r="S616">
        <v>51432.1</v>
      </c>
      <c r="T616" t="s">
        <v>40</v>
      </c>
      <c r="U616" t="str">
        <f t="shared" si="27"/>
        <v>2025-10</v>
      </c>
      <c r="V616">
        <f t="shared" si="28"/>
        <v>7</v>
      </c>
      <c r="W616" s="2">
        <f t="shared" si="29"/>
        <v>0.36406951228144685</v>
      </c>
    </row>
    <row r="617" spans="1:23">
      <c r="A617" t="s">
        <v>1301</v>
      </c>
      <c r="B617" s="1">
        <v>44992</v>
      </c>
      <c r="C617" s="1">
        <v>44994</v>
      </c>
      <c r="D617" t="s">
        <v>1302</v>
      </c>
      <c r="E617" t="s">
        <v>597</v>
      </c>
      <c r="F617" t="s">
        <v>35</v>
      </c>
      <c r="G617" t="s">
        <v>55</v>
      </c>
      <c r="H617" t="s">
        <v>56</v>
      </c>
      <c r="I617" t="s">
        <v>57</v>
      </c>
      <c r="J617" t="s">
        <v>47</v>
      </c>
      <c r="K617" t="s">
        <v>48</v>
      </c>
      <c r="L617" t="s">
        <v>49</v>
      </c>
      <c r="M617" t="s">
        <v>50</v>
      </c>
      <c r="N617">
        <v>10</v>
      </c>
      <c r="O617">
        <v>458300</v>
      </c>
      <c r="P617">
        <v>0.05</v>
      </c>
      <c r="Q617">
        <v>4353850</v>
      </c>
      <c r="R617">
        <v>2896822.37</v>
      </c>
      <c r="S617">
        <v>1457027.63</v>
      </c>
      <c r="T617" t="s">
        <v>40</v>
      </c>
      <c r="U617" t="str">
        <f t="shared" si="27"/>
        <v>2023-03</v>
      </c>
      <c r="V617">
        <f t="shared" si="28"/>
        <v>2</v>
      </c>
      <c r="W617" s="2">
        <f t="shared" si="29"/>
        <v>0.33465269359302685</v>
      </c>
    </row>
    <row r="618" spans="1:23">
      <c r="A618" t="s">
        <v>1303</v>
      </c>
      <c r="B618" s="1">
        <v>45600</v>
      </c>
      <c r="C618" s="1">
        <v>45605</v>
      </c>
      <c r="D618" t="s">
        <v>138</v>
      </c>
      <c r="E618" t="s">
        <v>1186</v>
      </c>
      <c r="F618" t="s">
        <v>23</v>
      </c>
      <c r="G618" t="s">
        <v>44</v>
      </c>
      <c r="H618" t="s">
        <v>45</v>
      </c>
      <c r="I618" t="s">
        <v>46</v>
      </c>
      <c r="J618" t="s">
        <v>27</v>
      </c>
      <c r="K618" t="s">
        <v>179</v>
      </c>
      <c r="L618" t="s">
        <v>244</v>
      </c>
      <c r="M618" t="s">
        <v>245</v>
      </c>
      <c r="N618">
        <v>1</v>
      </c>
      <c r="O618">
        <v>40000</v>
      </c>
      <c r="P618">
        <v>0.05</v>
      </c>
      <c r="Q618">
        <v>38000</v>
      </c>
      <c r="R618">
        <v>19485.400000000001</v>
      </c>
      <c r="S618">
        <v>18514.599999999999</v>
      </c>
      <c r="T618" t="s">
        <v>73</v>
      </c>
      <c r="U618" t="str">
        <f t="shared" si="27"/>
        <v>2024-11</v>
      </c>
      <c r="V618">
        <f t="shared" si="28"/>
        <v>5</v>
      </c>
      <c r="W618" s="2">
        <f t="shared" si="29"/>
        <v>0.48722631578947362</v>
      </c>
    </row>
    <row r="619" spans="1:23">
      <c r="A619" t="s">
        <v>1304</v>
      </c>
      <c r="B619" s="1">
        <v>45508</v>
      </c>
      <c r="C619" s="1">
        <v>45510</v>
      </c>
      <c r="D619" t="s">
        <v>1233</v>
      </c>
      <c r="E619" t="s">
        <v>528</v>
      </c>
      <c r="F619" t="s">
        <v>23</v>
      </c>
      <c r="G619" t="s">
        <v>64</v>
      </c>
      <c r="H619" t="s">
        <v>65</v>
      </c>
      <c r="I619" t="s">
        <v>57</v>
      </c>
      <c r="J619" t="s">
        <v>47</v>
      </c>
      <c r="K619" t="s">
        <v>142</v>
      </c>
      <c r="L619" t="s">
        <v>143</v>
      </c>
      <c r="M619" t="s">
        <v>144</v>
      </c>
      <c r="N619">
        <v>1</v>
      </c>
      <c r="O619">
        <v>6643700</v>
      </c>
      <c r="P619">
        <v>0.05</v>
      </c>
      <c r="Q619">
        <v>6311515</v>
      </c>
      <c r="R619">
        <v>5157714.83</v>
      </c>
      <c r="S619">
        <v>1153800.17</v>
      </c>
      <c r="T619" t="s">
        <v>31</v>
      </c>
      <c r="U619" t="str">
        <f t="shared" si="27"/>
        <v>2024-08</v>
      </c>
      <c r="V619">
        <f t="shared" si="28"/>
        <v>2</v>
      </c>
      <c r="W619" s="2">
        <f t="shared" si="29"/>
        <v>0.18280875035550101</v>
      </c>
    </row>
    <row r="620" spans="1:23">
      <c r="A620" t="s">
        <v>1305</v>
      </c>
      <c r="B620" s="1">
        <v>45783</v>
      </c>
      <c r="C620" s="1">
        <v>45787</v>
      </c>
      <c r="D620" t="s">
        <v>1160</v>
      </c>
      <c r="E620" t="s">
        <v>109</v>
      </c>
      <c r="F620" t="s">
        <v>23</v>
      </c>
      <c r="G620" t="s">
        <v>24</v>
      </c>
      <c r="H620" t="s">
        <v>25</v>
      </c>
      <c r="I620" t="s">
        <v>26</v>
      </c>
      <c r="J620" t="s">
        <v>27</v>
      </c>
      <c r="K620" t="s">
        <v>116</v>
      </c>
      <c r="L620" t="s">
        <v>117</v>
      </c>
      <c r="M620" t="s">
        <v>118</v>
      </c>
      <c r="N620">
        <v>2</v>
      </c>
      <c r="O620">
        <v>29200</v>
      </c>
      <c r="P620">
        <v>0.1</v>
      </c>
      <c r="Q620">
        <v>52560</v>
      </c>
      <c r="R620">
        <v>27775.88</v>
      </c>
      <c r="S620">
        <v>24784.12</v>
      </c>
      <c r="T620" t="s">
        <v>73</v>
      </c>
      <c r="U620" t="str">
        <f t="shared" si="27"/>
        <v>2025-05</v>
      </c>
      <c r="V620">
        <f t="shared" si="28"/>
        <v>4</v>
      </c>
      <c r="W620" s="2">
        <f t="shared" si="29"/>
        <v>0.47153957382039574</v>
      </c>
    </row>
    <row r="621" spans="1:23">
      <c r="A621" t="s">
        <v>1306</v>
      </c>
      <c r="B621" s="1">
        <v>45956</v>
      </c>
      <c r="C621" s="1">
        <v>45962</v>
      </c>
      <c r="D621" t="s">
        <v>1193</v>
      </c>
      <c r="E621" t="s">
        <v>605</v>
      </c>
      <c r="F621" t="s">
        <v>23</v>
      </c>
      <c r="G621" t="s">
        <v>24</v>
      </c>
      <c r="H621" t="s">
        <v>25</v>
      </c>
      <c r="I621" t="s">
        <v>26</v>
      </c>
      <c r="J621" t="s">
        <v>27</v>
      </c>
      <c r="K621" t="s">
        <v>179</v>
      </c>
      <c r="L621" t="s">
        <v>244</v>
      </c>
      <c r="M621" t="s">
        <v>245</v>
      </c>
      <c r="N621">
        <v>2</v>
      </c>
      <c r="O621">
        <v>41100</v>
      </c>
      <c r="P621">
        <v>0.1</v>
      </c>
      <c r="Q621">
        <v>73980</v>
      </c>
      <c r="R621">
        <v>40363.870000000003</v>
      </c>
      <c r="S621">
        <v>33616.129999999997</v>
      </c>
      <c r="T621" t="s">
        <v>73</v>
      </c>
      <c r="U621" t="str">
        <f t="shared" si="27"/>
        <v>2025-10</v>
      </c>
      <c r="V621">
        <f t="shared" si="28"/>
        <v>6</v>
      </c>
      <c r="W621" s="2">
        <f t="shared" si="29"/>
        <v>0.45439483644228168</v>
      </c>
    </row>
    <row r="622" spans="1:23">
      <c r="A622" t="s">
        <v>1307</v>
      </c>
      <c r="B622" s="1">
        <v>45932</v>
      </c>
      <c r="C622" s="1">
        <v>45936</v>
      </c>
      <c r="D622" t="s">
        <v>341</v>
      </c>
      <c r="E622" t="s">
        <v>973</v>
      </c>
      <c r="F622" t="s">
        <v>23</v>
      </c>
      <c r="G622" t="s">
        <v>44</v>
      </c>
      <c r="H622" t="s">
        <v>45</v>
      </c>
      <c r="I622" t="s">
        <v>46</v>
      </c>
      <c r="J622" t="s">
        <v>36</v>
      </c>
      <c r="K622" t="s">
        <v>81</v>
      </c>
      <c r="L622" t="s">
        <v>215</v>
      </c>
      <c r="M622" t="s">
        <v>216</v>
      </c>
      <c r="N622">
        <v>2</v>
      </c>
      <c r="O622">
        <v>1899400</v>
      </c>
      <c r="P622">
        <v>0.15</v>
      </c>
      <c r="Q622">
        <v>3228980</v>
      </c>
      <c r="R622">
        <v>2509318.44</v>
      </c>
      <c r="S622">
        <v>719661.56</v>
      </c>
      <c r="T622" t="s">
        <v>40</v>
      </c>
      <c r="U622" t="str">
        <f t="shared" si="27"/>
        <v>2025-10</v>
      </c>
      <c r="V622">
        <f t="shared" si="28"/>
        <v>4</v>
      </c>
      <c r="W622" s="2">
        <f t="shared" si="29"/>
        <v>0.22287581836988773</v>
      </c>
    </row>
    <row r="623" spans="1:23">
      <c r="A623" t="s">
        <v>1308</v>
      </c>
      <c r="B623" s="1">
        <v>45294</v>
      </c>
      <c r="C623" s="1">
        <v>45299</v>
      </c>
      <c r="D623" t="s">
        <v>868</v>
      </c>
      <c r="E623" t="s">
        <v>738</v>
      </c>
      <c r="F623" t="s">
        <v>54</v>
      </c>
      <c r="G623" t="s">
        <v>169</v>
      </c>
      <c r="H623" t="s">
        <v>157</v>
      </c>
      <c r="I623" t="s">
        <v>57</v>
      </c>
      <c r="J623" t="s">
        <v>27</v>
      </c>
      <c r="K623" t="s">
        <v>116</v>
      </c>
      <c r="L623" t="s">
        <v>207</v>
      </c>
      <c r="M623" t="s">
        <v>208</v>
      </c>
      <c r="N623">
        <v>3</v>
      </c>
      <c r="O623">
        <v>105900</v>
      </c>
      <c r="P623">
        <v>0.1</v>
      </c>
      <c r="Q623">
        <v>285930</v>
      </c>
      <c r="R623">
        <v>173062.48</v>
      </c>
      <c r="S623">
        <v>112867.52</v>
      </c>
      <c r="T623" t="s">
        <v>73</v>
      </c>
      <c r="U623" t="str">
        <f t="shared" si="27"/>
        <v>2024-01</v>
      </c>
      <c r="V623">
        <f t="shared" si="28"/>
        <v>5</v>
      </c>
      <c r="W623" s="2">
        <f t="shared" si="29"/>
        <v>0.39473829258909526</v>
      </c>
    </row>
    <row r="624" spans="1:23">
      <c r="A624" t="s">
        <v>1309</v>
      </c>
      <c r="B624" s="1">
        <v>45524</v>
      </c>
      <c r="C624" s="1">
        <v>45530</v>
      </c>
      <c r="D624" t="s">
        <v>242</v>
      </c>
      <c r="E624" t="s">
        <v>267</v>
      </c>
      <c r="F624" t="s">
        <v>23</v>
      </c>
      <c r="G624" t="s">
        <v>64</v>
      </c>
      <c r="H624" t="s">
        <v>65</v>
      </c>
      <c r="I624" t="s">
        <v>57</v>
      </c>
      <c r="J624" t="s">
        <v>27</v>
      </c>
      <c r="K624" t="s">
        <v>28</v>
      </c>
      <c r="L624" t="s">
        <v>29</v>
      </c>
      <c r="M624" t="s">
        <v>30</v>
      </c>
      <c r="N624">
        <v>10</v>
      </c>
      <c r="O624">
        <v>62300</v>
      </c>
      <c r="P624">
        <v>0</v>
      </c>
      <c r="Q624">
        <v>623000</v>
      </c>
      <c r="R624">
        <v>353123.28</v>
      </c>
      <c r="S624">
        <v>269876.71999999997</v>
      </c>
      <c r="T624" t="s">
        <v>31</v>
      </c>
      <c r="U624" t="str">
        <f t="shared" si="27"/>
        <v>2024-08</v>
      </c>
      <c r="V624">
        <f t="shared" si="28"/>
        <v>6</v>
      </c>
      <c r="W624" s="2">
        <f t="shared" si="29"/>
        <v>0.43318895666131618</v>
      </c>
    </row>
    <row r="625" spans="1:23">
      <c r="A625" t="s">
        <v>1310</v>
      </c>
      <c r="B625" s="1">
        <v>45264</v>
      </c>
      <c r="C625" s="1">
        <v>45267</v>
      </c>
      <c r="D625" t="s">
        <v>1311</v>
      </c>
      <c r="E625" t="s">
        <v>147</v>
      </c>
      <c r="F625" t="s">
        <v>23</v>
      </c>
      <c r="G625" t="s">
        <v>64</v>
      </c>
      <c r="H625" t="s">
        <v>65</v>
      </c>
      <c r="I625" t="s">
        <v>57</v>
      </c>
      <c r="J625" t="s">
        <v>47</v>
      </c>
      <c r="K625" t="s">
        <v>142</v>
      </c>
      <c r="L625" t="s">
        <v>158</v>
      </c>
      <c r="M625" t="s">
        <v>159</v>
      </c>
      <c r="N625">
        <v>2</v>
      </c>
      <c r="O625">
        <v>8725700</v>
      </c>
      <c r="P625">
        <v>0.2</v>
      </c>
      <c r="Q625">
        <v>13961120</v>
      </c>
      <c r="R625">
        <v>13633431.17</v>
      </c>
      <c r="S625">
        <v>327688.83</v>
      </c>
      <c r="T625" t="s">
        <v>40</v>
      </c>
      <c r="U625" t="str">
        <f t="shared" si="27"/>
        <v>2023-12</v>
      </c>
      <c r="V625">
        <f t="shared" si="28"/>
        <v>3</v>
      </c>
      <c r="W625" s="2">
        <f t="shared" si="29"/>
        <v>2.3471528788521268E-2</v>
      </c>
    </row>
    <row r="626" spans="1:23">
      <c r="A626" t="s">
        <v>1312</v>
      </c>
      <c r="B626" s="1">
        <v>45206</v>
      </c>
      <c r="C626" s="1">
        <v>45209</v>
      </c>
      <c r="D626" t="s">
        <v>1313</v>
      </c>
      <c r="E626" t="s">
        <v>1240</v>
      </c>
      <c r="F626" t="s">
        <v>23</v>
      </c>
      <c r="G626" t="s">
        <v>64</v>
      </c>
      <c r="H626" t="s">
        <v>65</v>
      </c>
      <c r="I626" t="s">
        <v>57</v>
      </c>
      <c r="J626" t="s">
        <v>27</v>
      </c>
      <c r="K626" t="s">
        <v>116</v>
      </c>
      <c r="L626" t="s">
        <v>207</v>
      </c>
      <c r="M626" t="s">
        <v>208</v>
      </c>
      <c r="N626">
        <v>2</v>
      </c>
      <c r="O626">
        <v>109600</v>
      </c>
      <c r="P626">
        <v>0.25</v>
      </c>
      <c r="Q626">
        <v>164400</v>
      </c>
      <c r="R626">
        <v>120974.94</v>
      </c>
      <c r="S626">
        <v>43425.06</v>
      </c>
      <c r="T626" t="s">
        <v>31</v>
      </c>
      <c r="U626" t="str">
        <f t="shared" si="27"/>
        <v>2023-10</v>
      </c>
      <c r="V626">
        <f t="shared" si="28"/>
        <v>3</v>
      </c>
      <c r="W626" s="2">
        <f t="shared" si="29"/>
        <v>0.26414270072992702</v>
      </c>
    </row>
    <row r="627" spans="1:23">
      <c r="A627" t="s">
        <v>1314</v>
      </c>
      <c r="B627" s="1">
        <v>45276</v>
      </c>
      <c r="C627" s="1">
        <v>45283</v>
      </c>
      <c r="D627" t="s">
        <v>1188</v>
      </c>
      <c r="E627" t="s">
        <v>728</v>
      </c>
      <c r="F627" t="s">
        <v>23</v>
      </c>
      <c r="G627" t="s">
        <v>80</v>
      </c>
      <c r="H627" t="s">
        <v>45</v>
      </c>
      <c r="I627" t="s">
        <v>46</v>
      </c>
      <c r="J627" t="s">
        <v>47</v>
      </c>
      <c r="K627" t="s">
        <v>142</v>
      </c>
      <c r="L627" t="s">
        <v>143</v>
      </c>
      <c r="M627" t="s">
        <v>144</v>
      </c>
      <c r="N627">
        <v>1</v>
      </c>
      <c r="O627">
        <v>6391000</v>
      </c>
      <c r="P627">
        <v>0</v>
      </c>
      <c r="Q627">
        <v>6391000</v>
      </c>
      <c r="R627">
        <v>5038780.9400000004</v>
      </c>
      <c r="S627">
        <v>1352219.06</v>
      </c>
      <c r="T627" t="s">
        <v>40</v>
      </c>
      <c r="U627" t="str">
        <f t="shared" si="27"/>
        <v>2023-12</v>
      </c>
      <c r="V627">
        <f t="shared" si="28"/>
        <v>7</v>
      </c>
      <c r="W627" s="2">
        <f t="shared" si="29"/>
        <v>0.21158176498200595</v>
      </c>
    </row>
    <row r="628" spans="1:23">
      <c r="A628" t="s">
        <v>1315</v>
      </c>
      <c r="B628" s="1">
        <v>45370</v>
      </c>
      <c r="C628" s="1">
        <v>45376</v>
      </c>
      <c r="D628" t="s">
        <v>520</v>
      </c>
      <c r="E628" t="s">
        <v>590</v>
      </c>
      <c r="F628" t="s">
        <v>35</v>
      </c>
      <c r="G628" t="s">
        <v>64</v>
      </c>
      <c r="H628" t="s">
        <v>65</v>
      </c>
      <c r="I628" t="s">
        <v>57</v>
      </c>
      <c r="J628" t="s">
        <v>47</v>
      </c>
      <c r="K628" t="s">
        <v>173</v>
      </c>
      <c r="L628" t="s">
        <v>174</v>
      </c>
      <c r="M628" t="s">
        <v>175</v>
      </c>
      <c r="N628">
        <v>2</v>
      </c>
      <c r="O628">
        <v>4548800</v>
      </c>
      <c r="P628">
        <v>0</v>
      </c>
      <c r="Q628">
        <v>9097600</v>
      </c>
      <c r="R628">
        <v>6486178.5800000001</v>
      </c>
      <c r="S628">
        <v>2611421.42</v>
      </c>
      <c r="T628" t="s">
        <v>31</v>
      </c>
      <c r="U628" t="str">
        <f t="shared" si="27"/>
        <v>2024-03</v>
      </c>
      <c r="V628">
        <f t="shared" si="28"/>
        <v>6</v>
      </c>
      <c r="W628" s="2">
        <f t="shared" si="29"/>
        <v>0.2870450910130144</v>
      </c>
    </row>
    <row r="629" spans="1:23">
      <c r="A629" t="s">
        <v>1316</v>
      </c>
      <c r="B629" s="1">
        <v>45438</v>
      </c>
      <c r="C629" s="1">
        <v>45441</v>
      </c>
      <c r="D629" t="s">
        <v>610</v>
      </c>
      <c r="E629" t="s">
        <v>1051</v>
      </c>
      <c r="F629" t="s">
        <v>23</v>
      </c>
      <c r="G629" t="s">
        <v>44</v>
      </c>
      <c r="H629" t="s">
        <v>45</v>
      </c>
      <c r="I629" t="s">
        <v>46</v>
      </c>
      <c r="J629" t="s">
        <v>27</v>
      </c>
      <c r="K629" t="s">
        <v>28</v>
      </c>
      <c r="L629" t="s">
        <v>29</v>
      </c>
      <c r="M629" t="s">
        <v>30</v>
      </c>
      <c r="N629">
        <v>10</v>
      </c>
      <c r="O629">
        <v>66200</v>
      </c>
      <c r="P629">
        <v>0</v>
      </c>
      <c r="Q629">
        <v>662000</v>
      </c>
      <c r="R629">
        <v>370693.69</v>
      </c>
      <c r="S629">
        <v>291306.31</v>
      </c>
      <c r="T629" t="s">
        <v>31</v>
      </c>
      <c r="U629" t="str">
        <f t="shared" si="27"/>
        <v>2024-05</v>
      </c>
      <c r="V629">
        <f t="shared" si="28"/>
        <v>3</v>
      </c>
      <c r="W629" s="2">
        <f t="shared" si="29"/>
        <v>0.4400397432024169</v>
      </c>
    </row>
    <row r="630" spans="1:23">
      <c r="A630" t="s">
        <v>1317</v>
      </c>
      <c r="B630" s="1">
        <v>45270</v>
      </c>
      <c r="C630" s="1">
        <v>45276</v>
      </c>
      <c r="D630" t="s">
        <v>135</v>
      </c>
      <c r="E630" t="s">
        <v>270</v>
      </c>
      <c r="F630" t="s">
        <v>23</v>
      </c>
      <c r="G630" t="s">
        <v>87</v>
      </c>
      <c r="H630" t="s">
        <v>88</v>
      </c>
      <c r="I630" t="s">
        <v>46</v>
      </c>
      <c r="J630" t="s">
        <v>47</v>
      </c>
      <c r="K630" t="s">
        <v>48</v>
      </c>
      <c r="L630" t="s">
        <v>225</v>
      </c>
      <c r="M630" t="s">
        <v>226</v>
      </c>
      <c r="N630">
        <v>2</v>
      </c>
      <c r="O630">
        <v>238700</v>
      </c>
      <c r="P630">
        <v>0.1</v>
      </c>
      <c r="Q630">
        <v>429660</v>
      </c>
      <c r="R630">
        <v>306909.74</v>
      </c>
      <c r="S630">
        <v>122750.26</v>
      </c>
      <c r="T630" t="s">
        <v>60</v>
      </c>
      <c r="U630" t="str">
        <f t="shared" si="27"/>
        <v>2023-12</v>
      </c>
      <c r="V630">
        <f t="shared" si="28"/>
        <v>6</v>
      </c>
      <c r="W630" s="2">
        <f t="shared" si="29"/>
        <v>0.28569161662710046</v>
      </c>
    </row>
    <row r="631" spans="1:23">
      <c r="A631" t="s">
        <v>1318</v>
      </c>
      <c r="B631" s="1">
        <v>45402</v>
      </c>
      <c r="C631" s="1">
        <v>45404</v>
      </c>
      <c r="D631" t="s">
        <v>1313</v>
      </c>
      <c r="E631" t="s">
        <v>1319</v>
      </c>
      <c r="F631" t="s">
        <v>23</v>
      </c>
      <c r="G631" t="s">
        <v>80</v>
      </c>
      <c r="H631" t="s">
        <v>45</v>
      </c>
      <c r="I631" t="s">
        <v>46</v>
      </c>
      <c r="J631" t="s">
        <v>47</v>
      </c>
      <c r="K631" t="s">
        <v>48</v>
      </c>
      <c r="L631" t="s">
        <v>49</v>
      </c>
      <c r="M631" t="s">
        <v>50</v>
      </c>
      <c r="N631">
        <v>1</v>
      </c>
      <c r="O631">
        <v>459200</v>
      </c>
      <c r="P631">
        <v>0</v>
      </c>
      <c r="Q631">
        <v>459200</v>
      </c>
      <c r="R631">
        <v>294820.96000000002</v>
      </c>
      <c r="S631">
        <v>164379.04</v>
      </c>
      <c r="T631" t="s">
        <v>60</v>
      </c>
      <c r="U631" t="str">
        <f t="shared" si="27"/>
        <v>2024-04</v>
      </c>
      <c r="V631">
        <f t="shared" si="28"/>
        <v>2</v>
      </c>
      <c r="W631" s="2">
        <f t="shared" si="29"/>
        <v>0.35796829268292685</v>
      </c>
    </row>
    <row r="632" spans="1:23">
      <c r="A632" t="s">
        <v>1320</v>
      </c>
      <c r="B632" s="1">
        <v>45682</v>
      </c>
      <c r="C632" s="1">
        <v>45683</v>
      </c>
      <c r="D632" t="s">
        <v>1008</v>
      </c>
      <c r="E632" t="s">
        <v>147</v>
      </c>
      <c r="F632" t="s">
        <v>23</v>
      </c>
      <c r="G632" t="s">
        <v>169</v>
      </c>
      <c r="H632" t="s">
        <v>157</v>
      </c>
      <c r="I632" t="s">
        <v>57</v>
      </c>
      <c r="J632" t="s">
        <v>47</v>
      </c>
      <c r="K632" t="s">
        <v>173</v>
      </c>
      <c r="L632" t="s">
        <v>174</v>
      </c>
      <c r="M632" t="s">
        <v>175</v>
      </c>
      <c r="N632">
        <v>10</v>
      </c>
      <c r="O632">
        <v>4335300</v>
      </c>
      <c r="P632">
        <v>0.1</v>
      </c>
      <c r="Q632">
        <v>39017700</v>
      </c>
      <c r="R632">
        <v>35075906.530000001</v>
      </c>
      <c r="S632">
        <v>3941793.47</v>
      </c>
      <c r="T632" t="s">
        <v>40</v>
      </c>
      <c r="U632" t="str">
        <f t="shared" si="27"/>
        <v>2025-01</v>
      </c>
      <c r="V632">
        <f t="shared" si="28"/>
        <v>1</v>
      </c>
      <c r="W632" s="2">
        <f t="shared" si="29"/>
        <v>0.10102577727544167</v>
      </c>
    </row>
    <row r="633" spans="1:23">
      <c r="A633" t="s">
        <v>1321</v>
      </c>
      <c r="B633" s="1">
        <v>45591</v>
      </c>
      <c r="C633" s="1">
        <v>45597</v>
      </c>
      <c r="D633" t="s">
        <v>1042</v>
      </c>
      <c r="E633" t="s">
        <v>558</v>
      </c>
      <c r="F633" t="s">
        <v>23</v>
      </c>
      <c r="G633" t="s">
        <v>156</v>
      </c>
      <c r="H633" t="s">
        <v>157</v>
      </c>
      <c r="I633" t="s">
        <v>57</v>
      </c>
      <c r="J633" t="s">
        <v>27</v>
      </c>
      <c r="K633" t="s">
        <v>28</v>
      </c>
      <c r="L633" t="s">
        <v>71</v>
      </c>
      <c r="M633" t="s">
        <v>72</v>
      </c>
      <c r="N633">
        <v>10</v>
      </c>
      <c r="O633">
        <v>47100</v>
      </c>
      <c r="P633">
        <v>0</v>
      </c>
      <c r="Q633">
        <v>471000</v>
      </c>
      <c r="R633">
        <v>233235.93</v>
      </c>
      <c r="S633">
        <v>237764.07</v>
      </c>
      <c r="T633" t="s">
        <v>60</v>
      </c>
      <c r="U633" t="str">
        <f t="shared" si="27"/>
        <v>2024-10</v>
      </c>
      <c r="V633">
        <f t="shared" si="28"/>
        <v>6</v>
      </c>
      <c r="W633" s="2">
        <f t="shared" si="29"/>
        <v>0.50480694267515924</v>
      </c>
    </row>
    <row r="634" spans="1:23">
      <c r="A634" t="s">
        <v>1322</v>
      </c>
      <c r="B634" s="1">
        <v>45403</v>
      </c>
      <c r="C634" s="1">
        <v>45408</v>
      </c>
      <c r="D634" t="s">
        <v>123</v>
      </c>
      <c r="E634" t="s">
        <v>1323</v>
      </c>
      <c r="F634" t="s">
        <v>23</v>
      </c>
      <c r="G634" t="s">
        <v>24</v>
      </c>
      <c r="H634" t="s">
        <v>25</v>
      </c>
      <c r="I634" t="s">
        <v>26</v>
      </c>
      <c r="J634" t="s">
        <v>36</v>
      </c>
      <c r="K634" t="s">
        <v>81</v>
      </c>
      <c r="L634" t="s">
        <v>215</v>
      </c>
      <c r="M634" t="s">
        <v>216</v>
      </c>
      <c r="N634">
        <v>2</v>
      </c>
      <c r="O634">
        <v>1859100</v>
      </c>
      <c r="P634">
        <v>0.15</v>
      </c>
      <c r="Q634">
        <v>3160470</v>
      </c>
      <c r="R634">
        <v>2529030.19</v>
      </c>
      <c r="S634">
        <v>631439.81000000006</v>
      </c>
      <c r="T634" t="s">
        <v>31</v>
      </c>
      <c r="U634" t="str">
        <f t="shared" si="27"/>
        <v>2024-04</v>
      </c>
      <c r="V634">
        <f t="shared" si="28"/>
        <v>5</v>
      </c>
      <c r="W634" s="2">
        <f t="shared" si="29"/>
        <v>0.19979300863479169</v>
      </c>
    </row>
    <row r="635" spans="1:23">
      <c r="A635" t="s">
        <v>1324</v>
      </c>
      <c r="B635" s="1">
        <v>45948</v>
      </c>
      <c r="C635" s="1">
        <v>45951</v>
      </c>
      <c r="D635" t="s">
        <v>1193</v>
      </c>
      <c r="E635" t="s">
        <v>1143</v>
      </c>
      <c r="F635" t="s">
        <v>35</v>
      </c>
      <c r="G635" t="s">
        <v>24</v>
      </c>
      <c r="H635" t="s">
        <v>25</v>
      </c>
      <c r="I635" t="s">
        <v>26</v>
      </c>
      <c r="J635" t="s">
        <v>47</v>
      </c>
      <c r="K635" t="s">
        <v>48</v>
      </c>
      <c r="L635" t="s">
        <v>225</v>
      </c>
      <c r="M635" t="s">
        <v>226</v>
      </c>
      <c r="N635">
        <v>6</v>
      </c>
      <c r="O635">
        <v>237300</v>
      </c>
      <c r="P635">
        <v>0.25</v>
      </c>
      <c r="Q635">
        <v>1067850</v>
      </c>
      <c r="R635">
        <v>893665.07</v>
      </c>
      <c r="S635">
        <v>174184.93</v>
      </c>
      <c r="T635" t="s">
        <v>73</v>
      </c>
      <c r="U635" t="str">
        <f t="shared" si="27"/>
        <v>2025-10</v>
      </c>
      <c r="V635">
        <f t="shared" si="28"/>
        <v>3</v>
      </c>
      <c r="W635" s="2">
        <f t="shared" si="29"/>
        <v>0.16311741349440464</v>
      </c>
    </row>
    <row r="636" spans="1:23">
      <c r="A636" t="s">
        <v>1325</v>
      </c>
      <c r="B636" s="1">
        <v>45577</v>
      </c>
      <c r="C636" s="1">
        <v>45583</v>
      </c>
      <c r="D636" t="s">
        <v>1326</v>
      </c>
      <c r="E636" t="s">
        <v>829</v>
      </c>
      <c r="F636" t="s">
        <v>35</v>
      </c>
      <c r="G636" t="s">
        <v>87</v>
      </c>
      <c r="H636" t="s">
        <v>88</v>
      </c>
      <c r="I636" t="s">
        <v>46</v>
      </c>
      <c r="J636" t="s">
        <v>27</v>
      </c>
      <c r="K636" t="s">
        <v>100</v>
      </c>
      <c r="L636" t="s">
        <v>101</v>
      </c>
      <c r="M636" t="s">
        <v>102</v>
      </c>
      <c r="N636">
        <v>3</v>
      </c>
      <c r="O636">
        <v>55900</v>
      </c>
      <c r="P636">
        <v>0</v>
      </c>
      <c r="Q636">
        <v>167700</v>
      </c>
      <c r="R636">
        <v>97778.46</v>
      </c>
      <c r="S636">
        <v>69921.539999999994</v>
      </c>
      <c r="T636" t="s">
        <v>40</v>
      </c>
      <c r="U636" t="str">
        <f t="shared" si="27"/>
        <v>2024-10</v>
      </c>
      <c r="V636">
        <f t="shared" si="28"/>
        <v>6</v>
      </c>
      <c r="W636" s="2">
        <f t="shared" si="29"/>
        <v>0.41694418604651157</v>
      </c>
    </row>
    <row r="637" spans="1:23">
      <c r="A637" t="s">
        <v>1327</v>
      </c>
      <c r="B637" s="1">
        <v>45348</v>
      </c>
      <c r="C637" s="1">
        <v>45353</v>
      </c>
      <c r="D637" t="s">
        <v>881</v>
      </c>
      <c r="E637" t="s">
        <v>22</v>
      </c>
      <c r="F637" t="s">
        <v>35</v>
      </c>
      <c r="G637" t="s">
        <v>24</v>
      </c>
      <c r="H637" t="s">
        <v>25</v>
      </c>
      <c r="I637" t="s">
        <v>26</v>
      </c>
      <c r="J637" t="s">
        <v>47</v>
      </c>
      <c r="K637" t="s">
        <v>173</v>
      </c>
      <c r="L637" t="s">
        <v>174</v>
      </c>
      <c r="M637" t="s">
        <v>175</v>
      </c>
      <c r="N637">
        <v>2</v>
      </c>
      <c r="O637">
        <v>4419800</v>
      </c>
      <c r="P637">
        <v>0.1</v>
      </c>
      <c r="Q637">
        <v>7955640</v>
      </c>
      <c r="R637">
        <v>6353905.7699999996</v>
      </c>
      <c r="S637">
        <v>1601734.23</v>
      </c>
      <c r="T637" t="s">
        <v>40</v>
      </c>
      <c r="U637" t="str">
        <f t="shared" si="27"/>
        <v>2024-02</v>
      </c>
      <c r="V637">
        <f t="shared" si="28"/>
        <v>5</v>
      </c>
      <c r="W637" s="2">
        <f t="shared" si="29"/>
        <v>0.20133317118421648</v>
      </c>
    </row>
    <row r="638" spans="1:23">
      <c r="A638" t="s">
        <v>1328</v>
      </c>
      <c r="B638" s="1">
        <v>45033</v>
      </c>
      <c r="C638" s="1">
        <v>45039</v>
      </c>
      <c r="D638" t="s">
        <v>269</v>
      </c>
      <c r="E638" t="s">
        <v>850</v>
      </c>
      <c r="F638" t="s">
        <v>23</v>
      </c>
      <c r="G638" t="s">
        <v>80</v>
      </c>
      <c r="H638" t="s">
        <v>45</v>
      </c>
      <c r="I638" t="s">
        <v>46</v>
      </c>
      <c r="J638" t="s">
        <v>27</v>
      </c>
      <c r="K638" t="s">
        <v>28</v>
      </c>
      <c r="L638" t="s">
        <v>29</v>
      </c>
      <c r="M638" t="s">
        <v>30</v>
      </c>
      <c r="N638">
        <v>1</v>
      </c>
      <c r="O638">
        <v>62400</v>
      </c>
      <c r="P638">
        <v>0.15</v>
      </c>
      <c r="Q638">
        <v>53040</v>
      </c>
      <c r="R638">
        <v>33375.56</v>
      </c>
      <c r="S638">
        <v>19664.439999999999</v>
      </c>
      <c r="T638" t="s">
        <v>73</v>
      </c>
      <c r="U638" t="str">
        <f t="shared" si="27"/>
        <v>2023-04</v>
      </c>
      <c r="V638">
        <f t="shared" si="28"/>
        <v>6</v>
      </c>
      <c r="W638" s="2">
        <f t="shared" si="29"/>
        <v>0.37074736048265455</v>
      </c>
    </row>
    <row r="639" spans="1:23">
      <c r="A639" t="s">
        <v>1329</v>
      </c>
      <c r="B639" s="1">
        <v>45288</v>
      </c>
      <c r="C639" s="1">
        <v>45293</v>
      </c>
      <c r="D639" t="s">
        <v>426</v>
      </c>
      <c r="E639" t="s">
        <v>724</v>
      </c>
      <c r="F639" t="s">
        <v>23</v>
      </c>
      <c r="G639" t="s">
        <v>55</v>
      </c>
      <c r="H639" t="s">
        <v>56</v>
      </c>
      <c r="I639" t="s">
        <v>57</v>
      </c>
      <c r="J639" t="s">
        <v>47</v>
      </c>
      <c r="K639" t="s">
        <v>48</v>
      </c>
      <c r="L639" t="s">
        <v>66</v>
      </c>
      <c r="M639" t="s">
        <v>67</v>
      </c>
      <c r="N639">
        <v>1</v>
      </c>
      <c r="O639">
        <v>134000</v>
      </c>
      <c r="P639">
        <v>0</v>
      </c>
      <c r="Q639">
        <v>134000</v>
      </c>
      <c r="R639">
        <v>83660.31</v>
      </c>
      <c r="S639">
        <v>50339.69</v>
      </c>
      <c r="T639" t="s">
        <v>73</v>
      </c>
      <c r="U639" t="str">
        <f t="shared" si="27"/>
        <v>2023-12</v>
      </c>
      <c r="V639">
        <f t="shared" si="28"/>
        <v>5</v>
      </c>
      <c r="W639" s="2">
        <f t="shared" si="29"/>
        <v>0.37566932835820899</v>
      </c>
    </row>
    <row r="640" spans="1:23">
      <c r="A640" t="s">
        <v>1330</v>
      </c>
      <c r="B640" s="1">
        <v>45891</v>
      </c>
      <c r="C640" s="1">
        <v>45895</v>
      </c>
      <c r="D640" t="s">
        <v>997</v>
      </c>
      <c r="E640" t="s">
        <v>417</v>
      </c>
      <c r="F640" t="s">
        <v>35</v>
      </c>
      <c r="G640" t="s">
        <v>169</v>
      </c>
      <c r="H640" t="s">
        <v>157</v>
      </c>
      <c r="I640" t="s">
        <v>57</v>
      </c>
      <c r="J640" t="s">
        <v>36</v>
      </c>
      <c r="K640" t="s">
        <v>37</v>
      </c>
      <c r="L640" t="s">
        <v>38</v>
      </c>
      <c r="M640" t="s">
        <v>39</v>
      </c>
      <c r="N640">
        <v>1</v>
      </c>
      <c r="O640">
        <v>964200</v>
      </c>
      <c r="P640">
        <v>0.2</v>
      </c>
      <c r="Q640">
        <v>771360</v>
      </c>
      <c r="R640">
        <v>687554.7</v>
      </c>
      <c r="S640">
        <v>83805.3</v>
      </c>
      <c r="T640" t="s">
        <v>40</v>
      </c>
      <c r="U640" t="str">
        <f t="shared" si="27"/>
        <v>2025-08</v>
      </c>
      <c r="V640">
        <f t="shared" si="28"/>
        <v>4</v>
      </c>
      <c r="W640" s="2">
        <f t="shared" si="29"/>
        <v>0.10864615743621656</v>
      </c>
    </row>
    <row r="641" spans="1:23">
      <c r="A641" t="s">
        <v>1331</v>
      </c>
      <c r="B641" s="1">
        <v>45239</v>
      </c>
      <c r="C641" s="1">
        <v>45244</v>
      </c>
      <c r="D641" t="s">
        <v>167</v>
      </c>
      <c r="E641" t="s">
        <v>841</v>
      </c>
      <c r="F641" t="s">
        <v>23</v>
      </c>
      <c r="G641" t="s">
        <v>169</v>
      </c>
      <c r="H641" t="s">
        <v>157</v>
      </c>
      <c r="I641" t="s">
        <v>57</v>
      </c>
      <c r="J641" t="s">
        <v>27</v>
      </c>
      <c r="K641" t="s">
        <v>179</v>
      </c>
      <c r="L641" t="s">
        <v>244</v>
      </c>
      <c r="M641" t="s">
        <v>245</v>
      </c>
      <c r="N641">
        <v>1</v>
      </c>
      <c r="O641">
        <v>38900</v>
      </c>
      <c r="P641">
        <v>0.05</v>
      </c>
      <c r="Q641">
        <v>36955</v>
      </c>
      <c r="R641">
        <v>19320.080000000002</v>
      </c>
      <c r="S641">
        <v>17634.919999999998</v>
      </c>
      <c r="T641" t="s">
        <v>40</v>
      </c>
      <c r="U641" t="str">
        <f t="shared" si="27"/>
        <v>2023-11</v>
      </c>
      <c r="V641">
        <f t="shared" si="28"/>
        <v>5</v>
      </c>
      <c r="W641" s="2">
        <f t="shared" si="29"/>
        <v>0.47719983764037338</v>
      </c>
    </row>
    <row r="642" spans="1:23">
      <c r="A642" t="s">
        <v>1332</v>
      </c>
      <c r="B642" s="1">
        <v>45315</v>
      </c>
      <c r="C642" s="1">
        <v>45316</v>
      </c>
      <c r="D642" t="s">
        <v>62</v>
      </c>
      <c r="E642" t="s">
        <v>754</v>
      </c>
      <c r="F642" t="s">
        <v>23</v>
      </c>
      <c r="G642" t="s">
        <v>64</v>
      </c>
      <c r="H642" t="s">
        <v>65</v>
      </c>
      <c r="I642" t="s">
        <v>57</v>
      </c>
      <c r="J642" t="s">
        <v>47</v>
      </c>
      <c r="K642" t="s">
        <v>48</v>
      </c>
      <c r="L642" t="s">
        <v>49</v>
      </c>
      <c r="M642" t="s">
        <v>50</v>
      </c>
      <c r="N642">
        <v>8</v>
      </c>
      <c r="O642">
        <v>540100</v>
      </c>
      <c r="P642">
        <v>0.05</v>
      </c>
      <c r="Q642">
        <v>4104760</v>
      </c>
      <c r="R642">
        <v>2715440.55</v>
      </c>
      <c r="S642">
        <v>1389319.45</v>
      </c>
      <c r="T642" t="s">
        <v>40</v>
      </c>
      <c r="U642" t="str">
        <f t="shared" si="27"/>
        <v>2024-01</v>
      </c>
      <c r="V642">
        <f t="shared" si="28"/>
        <v>1</v>
      </c>
      <c r="W642" s="2">
        <f t="shared" si="29"/>
        <v>0.3384654523041542</v>
      </c>
    </row>
    <row r="643" spans="1:23">
      <c r="A643" t="s">
        <v>1333</v>
      </c>
      <c r="B643" s="1">
        <v>45006</v>
      </c>
      <c r="C643" s="1">
        <v>45007</v>
      </c>
      <c r="D643" t="s">
        <v>296</v>
      </c>
      <c r="E643" t="s">
        <v>735</v>
      </c>
      <c r="F643" t="s">
        <v>23</v>
      </c>
      <c r="G643" t="s">
        <v>80</v>
      </c>
      <c r="H643" t="s">
        <v>45</v>
      </c>
      <c r="I643" t="s">
        <v>46</v>
      </c>
      <c r="J643" t="s">
        <v>36</v>
      </c>
      <c r="K643" t="s">
        <v>37</v>
      </c>
      <c r="L643" t="s">
        <v>38</v>
      </c>
      <c r="M643" t="s">
        <v>39</v>
      </c>
      <c r="N643">
        <v>8</v>
      </c>
      <c r="O643">
        <v>1048300</v>
      </c>
      <c r="P643">
        <v>0.15</v>
      </c>
      <c r="Q643">
        <v>7128440</v>
      </c>
      <c r="R643">
        <v>5676035.9199999999</v>
      </c>
      <c r="S643">
        <v>1452404.08</v>
      </c>
      <c r="T643" t="s">
        <v>40</v>
      </c>
      <c r="U643" t="str">
        <f t="shared" ref="U643:U706" si="30">TEXT(B643,"yyyy-mm")</f>
        <v>2023-03</v>
      </c>
      <c r="V643">
        <f t="shared" ref="V643:V706" si="31">C643-B643</f>
        <v>1</v>
      </c>
      <c r="W643" s="2">
        <f t="shared" ref="W643:W706" si="32">IF(Q643=0,0,S643/Q643)</f>
        <v>0.20374781579139337</v>
      </c>
    </row>
    <row r="644" spans="1:23">
      <c r="A644" t="s">
        <v>1334</v>
      </c>
      <c r="B644" s="1">
        <v>45681</v>
      </c>
      <c r="C644" s="1">
        <v>45687</v>
      </c>
      <c r="D644" t="s">
        <v>1172</v>
      </c>
      <c r="E644" t="s">
        <v>1264</v>
      </c>
      <c r="F644" t="s">
        <v>35</v>
      </c>
      <c r="G644" t="s">
        <v>169</v>
      </c>
      <c r="H644" t="s">
        <v>157</v>
      </c>
      <c r="I644" t="s">
        <v>57</v>
      </c>
      <c r="J644" t="s">
        <v>47</v>
      </c>
      <c r="K644" t="s">
        <v>48</v>
      </c>
      <c r="L644" t="s">
        <v>225</v>
      </c>
      <c r="M644" t="s">
        <v>226</v>
      </c>
      <c r="N644">
        <v>2</v>
      </c>
      <c r="O644">
        <v>253600</v>
      </c>
      <c r="P644">
        <v>0.05</v>
      </c>
      <c r="Q644">
        <v>481840</v>
      </c>
      <c r="R644">
        <v>317056.59999999998</v>
      </c>
      <c r="S644">
        <v>164783.4</v>
      </c>
      <c r="T644" t="s">
        <v>73</v>
      </c>
      <c r="U644" t="str">
        <f t="shared" si="30"/>
        <v>2025-01</v>
      </c>
      <c r="V644">
        <f t="shared" si="31"/>
        <v>6</v>
      </c>
      <c r="W644" s="2">
        <f t="shared" si="32"/>
        <v>0.34198779677901375</v>
      </c>
    </row>
    <row r="645" spans="1:23">
      <c r="A645" t="s">
        <v>1335</v>
      </c>
      <c r="B645" s="1">
        <v>45229</v>
      </c>
      <c r="C645" s="1">
        <v>45232</v>
      </c>
      <c r="D645" t="s">
        <v>426</v>
      </c>
      <c r="E645" t="s">
        <v>791</v>
      </c>
      <c r="F645" t="s">
        <v>23</v>
      </c>
      <c r="G645" t="s">
        <v>80</v>
      </c>
      <c r="H645" t="s">
        <v>45</v>
      </c>
      <c r="I645" t="s">
        <v>46</v>
      </c>
      <c r="J645" t="s">
        <v>36</v>
      </c>
      <c r="K645" t="s">
        <v>37</v>
      </c>
      <c r="L645" t="s">
        <v>58</v>
      </c>
      <c r="M645" t="s">
        <v>59</v>
      </c>
      <c r="N645">
        <v>1</v>
      </c>
      <c r="O645">
        <v>930600</v>
      </c>
      <c r="P645">
        <v>0.1</v>
      </c>
      <c r="Q645">
        <v>837540</v>
      </c>
      <c r="R645">
        <v>646745.22</v>
      </c>
      <c r="S645">
        <v>190794.78</v>
      </c>
      <c r="T645" t="s">
        <v>73</v>
      </c>
      <c r="U645" t="str">
        <f t="shared" si="30"/>
        <v>2023-10</v>
      </c>
      <c r="V645">
        <f t="shared" si="31"/>
        <v>3</v>
      </c>
      <c r="W645" s="2">
        <f t="shared" si="32"/>
        <v>0.22780378250591016</v>
      </c>
    </row>
    <row r="646" spans="1:23">
      <c r="A646" t="s">
        <v>1336</v>
      </c>
      <c r="B646" s="1">
        <v>45091</v>
      </c>
      <c r="C646" s="1">
        <v>45096</v>
      </c>
      <c r="D646" t="s">
        <v>367</v>
      </c>
      <c r="E646" t="s">
        <v>722</v>
      </c>
      <c r="F646" t="s">
        <v>35</v>
      </c>
      <c r="G646" t="s">
        <v>80</v>
      </c>
      <c r="H646" t="s">
        <v>45</v>
      </c>
      <c r="I646" t="s">
        <v>46</v>
      </c>
      <c r="J646" t="s">
        <v>27</v>
      </c>
      <c r="K646" t="s">
        <v>116</v>
      </c>
      <c r="L646" t="s">
        <v>117</v>
      </c>
      <c r="M646" t="s">
        <v>118</v>
      </c>
      <c r="N646">
        <v>3</v>
      </c>
      <c r="O646">
        <v>27300</v>
      </c>
      <c r="P646">
        <v>0.1</v>
      </c>
      <c r="Q646">
        <v>73710</v>
      </c>
      <c r="R646">
        <v>42750.13</v>
      </c>
      <c r="S646">
        <v>30959.87</v>
      </c>
      <c r="T646" t="s">
        <v>60</v>
      </c>
      <c r="U646" t="str">
        <f t="shared" si="30"/>
        <v>2023-06</v>
      </c>
      <c r="V646">
        <f t="shared" si="31"/>
        <v>5</v>
      </c>
      <c r="W646" s="2">
        <f t="shared" si="32"/>
        <v>0.42002265635598968</v>
      </c>
    </row>
    <row r="647" spans="1:23">
      <c r="A647" t="s">
        <v>1337</v>
      </c>
      <c r="B647" s="1">
        <v>45109</v>
      </c>
      <c r="C647" s="1">
        <v>45110</v>
      </c>
      <c r="D647" t="s">
        <v>881</v>
      </c>
      <c r="E647" t="s">
        <v>276</v>
      </c>
      <c r="F647" t="s">
        <v>23</v>
      </c>
      <c r="G647" t="s">
        <v>80</v>
      </c>
      <c r="H647" t="s">
        <v>45</v>
      </c>
      <c r="I647" t="s">
        <v>46</v>
      </c>
      <c r="J647" t="s">
        <v>27</v>
      </c>
      <c r="K647" t="s">
        <v>179</v>
      </c>
      <c r="L647" t="s">
        <v>180</v>
      </c>
      <c r="M647" t="s">
        <v>181</v>
      </c>
      <c r="N647">
        <v>6</v>
      </c>
      <c r="O647">
        <v>55300</v>
      </c>
      <c r="P647">
        <v>0</v>
      </c>
      <c r="Q647">
        <v>331800</v>
      </c>
      <c r="R647">
        <v>189625.71</v>
      </c>
      <c r="S647">
        <v>142174.29</v>
      </c>
      <c r="T647" t="s">
        <v>73</v>
      </c>
      <c r="U647" t="str">
        <f t="shared" si="30"/>
        <v>2023-07</v>
      </c>
      <c r="V647">
        <f t="shared" si="31"/>
        <v>1</v>
      </c>
      <c r="W647" s="2">
        <f t="shared" si="32"/>
        <v>0.42849394213381559</v>
      </c>
    </row>
    <row r="648" spans="1:23">
      <c r="A648" t="s">
        <v>1338</v>
      </c>
      <c r="B648" s="1">
        <v>45070</v>
      </c>
      <c r="C648" s="1">
        <v>45077</v>
      </c>
      <c r="D648" t="s">
        <v>553</v>
      </c>
      <c r="E648" t="s">
        <v>273</v>
      </c>
      <c r="F648" t="s">
        <v>35</v>
      </c>
      <c r="G648" t="s">
        <v>95</v>
      </c>
      <c r="H648" t="s">
        <v>96</v>
      </c>
      <c r="I648" t="s">
        <v>26</v>
      </c>
      <c r="J648" t="s">
        <v>27</v>
      </c>
      <c r="K648" t="s">
        <v>116</v>
      </c>
      <c r="L648" t="s">
        <v>117</v>
      </c>
      <c r="M648" t="s">
        <v>118</v>
      </c>
      <c r="N648">
        <v>1</v>
      </c>
      <c r="O648">
        <v>25400</v>
      </c>
      <c r="P648">
        <v>0</v>
      </c>
      <c r="Q648">
        <v>25400</v>
      </c>
      <c r="R648">
        <v>12610.8</v>
      </c>
      <c r="S648">
        <v>12789.2</v>
      </c>
      <c r="T648" t="s">
        <v>73</v>
      </c>
      <c r="U648" t="str">
        <f t="shared" si="30"/>
        <v>2023-05</v>
      </c>
      <c r="V648">
        <f t="shared" si="31"/>
        <v>7</v>
      </c>
      <c r="W648" s="2">
        <f t="shared" si="32"/>
        <v>0.50351181102362208</v>
      </c>
    </row>
    <row r="649" spans="1:23">
      <c r="A649" t="s">
        <v>1339</v>
      </c>
      <c r="B649" s="1">
        <v>45362</v>
      </c>
      <c r="C649" s="1">
        <v>45364</v>
      </c>
      <c r="D649" t="s">
        <v>564</v>
      </c>
      <c r="E649" t="s">
        <v>1100</v>
      </c>
      <c r="F649" t="s">
        <v>23</v>
      </c>
      <c r="G649" t="s">
        <v>24</v>
      </c>
      <c r="H649" t="s">
        <v>25</v>
      </c>
      <c r="I649" t="s">
        <v>26</v>
      </c>
      <c r="J649" t="s">
        <v>47</v>
      </c>
      <c r="K649" t="s">
        <v>173</v>
      </c>
      <c r="L649" t="s">
        <v>203</v>
      </c>
      <c r="M649" t="s">
        <v>204</v>
      </c>
      <c r="N649">
        <v>2</v>
      </c>
      <c r="O649">
        <v>3522700</v>
      </c>
      <c r="P649">
        <v>0</v>
      </c>
      <c r="Q649">
        <v>7045400</v>
      </c>
      <c r="R649">
        <v>5529791.04</v>
      </c>
      <c r="S649">
        <v>1515608.96</v>
      </c>
      <c r="T649" t="s">
        <v>40</v>
      </c>
      <c r="U649" t="str">
        <f t="shared" si="30"/>
        <v>2024-03</v>
      </c>
      <c r="V649">
        <f t="shared" si="31"/>
        <v>2</v>
      </c>
      <c r="W649" s="2">
        <f t="shared" si="32"/>
        <v>0.21512035654469583</v>
      </c>
    </row>
    <row r="650" spans="1:23">
      <c r="A650" t="s">
        <v>1340</v>
      </c>
      <c r="B650" s="1">
        <v>45700</v>
      </c>
      <c r="C650" s="1">
        <v>45701</v>
      </c>
      <c r="D650" t="s">
        <v>733</v>
      </c>
      <c r="E650" t="s">
        <v>1341</v>
      </c>
      <c r="F650" t="s">
        <v>35</v>
      </c>
      <c r="G650" t="s">
        <v>140</v>
      </c>
      <c r="H650" t="s">
        <v>141</v>
      </c>
      <c r="I650" t="s">
        <v>46</v>
      </c>
      <c r="J650" t="s">
        <v>47</v>
      </c>
      <c r="K650" t="s">
        <v>48</v>
      </c>
      <c r="L650" t="s">
        <v>49</v>
      </c>
      <c r="M650" t="s">
        <v>50</v>
      </c>
      <c r="N650">
        <v>2</v>
      </c>
      <c r="O650">
        <v>517600</v>
      </c>
      <c r="P650">
        <v>0</v>
      </c>
      <c r="Q650">
        <v>1035200</v>
      </c>
      <c r="R650">
        <v>631933.81000000006</v>
      </c>
      <c r="S650">
        <v>403266.19</v>
      </c>
      <c r="T650" t="s">
        <v>40</v>
      </c>
      <c r="U650" t="str">
        <f t="shared" si="30"/>
        <v>2025-02</v>
      </c>
      <c r="V650">
        <f t="shared" si="31"/>
        <v>1</v>
      </c>
      <c r="W650" s="2">
        <f t="shared" si="32"/>
        <v>0.3895538929675425</v>
      </c>
    </row>
    <row r="651" spans="1:23">
      <c r="A651" t="s">
        <v>1342</v>
      </c>
      <c r="B651" s="1">
        <v>45012</v>
      </c>
      <c r="C651" s="1">
        <v>45013</v>
      </c>
      <c r="D651" t="s">
        <v>853</v>
      </c>
      <c r="E651" t="s">
        <v>742</v>
      </c>
      <c r="F651" t="s">
        <v>35</v>
      </c>
      <c r="G651" t="s">
        <v>169</v>
      </c>
      <c r="H651" t="s">
        <v>157</v>
      </c>
      <c r="I651" t="s">
        <v>57</v>
      </c>
      <c r="J651" t="s">
        <v>47</v>
      </c>
      <c r="K651" t="s">
        <v>142</v>
      </c>
      <c r="L651" t="s">
        <v>158</v>
      </c>
      <c r="M651" t="s">
        <v>159</v>
      </c>
      <c r="N651">
        <v>6</v>
      </c>
      <c r="O651">
        <v>8233700</v>
      </c>
      <c r="P651">
        <v>0.05</v>
      </c>
      <c r="Q651">
        <v>46932090</v>
      </c>
      <c r="R651">
        <v>38758327.899999999</v>
      </c>
      <c r="S651">
        <v>8173762.0999999996</v>
      </c>
      <c r="T651" t="s">
        <v>60</v>
      </c>
      <c r="U651" t="str">
        <f t="shared" si="30"/>
        <v>2023-03</v>
      </c>
      <c r="V651">
        <f t="shared" si="31"/>
        <v>1</v>
      </c>
      <c r="W651" s="2">
        <f t="shared" si="32"/>
        <v>0.17416147672093868</v>
      </c>
    </row>
    <row r="652" spans="1:23">
      <c r="A652" t="s">
        <v>1343</v>
      </c>
      <c r="B652" s="1">
        <v>45629</v>
      </c>
      <c r="C652" s="1">
        <v>45632</v>
      </c>
      <c r="D652" t="s">
        <v>281</v>
      </c>
      <c r="E652" t="s">
        <v>1344</v>
      </c>
      <c r="F652" t="s">
        <v>23</v>
      </c>
      <c r="G652" t="s">
        <v>169</v>
      </c>
      <c r="H652" t="s">
        <v>157</v>
      </c>
      <c r="I652" t="s">
        <v>57</v>
      </c>
      <c r="J652" t="s">
        <v>27</v>
      </c>
      <c r="K652" t="s">
        <v>179</v>
      </c>
      <c r="L652" t="s">
        <v>180</v>
      </c>
      <c r="M652" t="s">
        <v>181</v>
      </c>
      <c r="N652">
        <v>10</v>
      </c>
      <c r="O652">
        <v>61200</v>
      </c>
      <c r="P652">
        <v>0.15</v>
      </c>
      <c r="Q652">
        <v>520200</v>
      </c>
      <c r="R652">
        <v>308272.07</v>
      </c>
      <c r="S652">
        <v>211927.93</v>
      </c>
      <c r="T652" t="s">
        <v>31</v>
      </c>
      <c r="U652" t="str">
        <f t="shared" si="30"/>
        <v>2024-12</v>
      </c>
      <c r="V652">
        <f t="shared" si="31"/>
        <v>3</v>
      </c>
      <c r="W652" s="2">
        <f t="shared" si="32"/>
        <v>0.40739702037677816</v>
      </c>
    </row>
    <row r="653" spans="1:23">
      <c r="A653" t="s">
        <v>1345</v>
      </c>
      <c r="B653" s="1">
        <v>45211</v>
      </c>
      <c r="C653" s="1">
        <v>45212</v>
      </c>
      <c r="D653" t="s">
        <v>530</v>
      </c>
      <c r="E653" t="s">
        <v>730</v>
      </c>
      <c r="F653" t="s">
        <v>54</v>
      </c>
      <c r="G653" t="s">
        <v>95</v>
      </c>
      <c r="H653" t="s">
        <v>96</v>
      </c>
      <c r="I653" t="s">
        <v>26</v>
      </c>
      <c r="J653" t="s">
        <v>36</v>
      </c>
      <c r="K653" t="s">
        <v>37</v>
      </c>
      <c r="L653" t="s">
        <v>38</v>
      </c>
      <c r="M653" t="s">
        <v>39</v>
      </c>
      <c r="N653">
        <v>2</v>
      </c>
      <c r="O653">
        <v>1015300</v>
      </c>
      <c r="P653">
        <v>0.1</v>
      </c>
      <c r="Q653">
        <v>1827540</v>
      </c>
      <c r="R653">
        <v>1397068.29</v>
      </c>
      <c r="S653">
        <v>430471.71</v>
      </c>
      <c r="T653" t="s">
        <v>73</v>
      </c>
      <c r="U653" t="str">
        <f t="shared" si="30"/>
        <v>2023-10</v>
      </c>
      <c r="V653">
        <f t="shared" si="31"/>
        <v>1</v>
      </c>
      <c r="W653" s="2">
        <f t="shared" si="32"/>
        <v>0.23554707968088251</v>
      </c>
    </row>
    <row r="654" spans="1:23">
      <c r="A654" t="s">
        <v>1346</v>
      </c>
      <c r="B654" s="1">
        <v>44933</v>
      </c>
      <c r="C654" s="1">
        <v>44939</v>
      </c>
      <c r="D654" t="s">
        <v>287</v>
      </c>
      <c r="E654" t="s">
        <v>1347</v>
      </c>
      <c r="F654" t="s">
        <v>35</v>
      </c>
      <c r="G654" t="s">
        <v>140</v>
      </c>
      <c r="H654" t="s">
        <v>141</v>
      </c>
      <c r="I654" t="s">
        <v>46</v>
      </c>
      <c r="J654" t="s">
        <v>27</v>
      </c>
      <c r="K654" t="s">
        <v>179</v>
      </c>
      <c r="L654" t="s">
        <v>180</v>
      </c>
      <c r="M654" t="s">
        <v>181</v>
      </c>
      <c r="N654">
        <v>8</v>
      </c>
      <c r="O654">
        <v>59500</v>
      </c>
      <c r="P654">
        <v>0.1</v>
      </c>
      <c r="Q654">
        <v>428400</v>
      </c>
      <c r="R654">
        <v>247325.88</v>
      </c>
      <c r="S654">
        <v>181074.12</v>
      </c>
      <c r="T654" t="s">
        <v>31</v>
      </c>
      <c r="U654" t="str">
        <f t="shared" si="30"/>
        <v>2023-01</v>
      </c>
      <c r="V654">
        <f t="shared" si="31"/>
        <v>6</v>
      </c>
      <c r="W654" s="2">
        <f t="shared" si="32"/>
        <v>0.42267535014005603</v>
      </c>
    </row>
    <row r="655" spans="1:23">
      <c r="A655" t="s">
        <v>1348</v>
      </c>
      <c r="B655" s="1">
        <v>45093</v>
      </c>
      <c r="C655" s="1">
        <v>45096</v>
      </c>
      <c r="D655" t="s">
        <v>201</v>
      </c>
      <c r="E655" t="s">
        <v>717</v>
      </c>
      <c r="F655" t="s">
        <v>35</v>
      </c>
      <c r="G655" t="s">
        <v>44</v>
      </c>
      <c r="H655" t="s">
        <v>45</v>
      </c>
      <c r="I655" t="s">
        <v>46</v>
      </c>
      <c r="J655" t="s">
        <v>36</v>
      </c>
      <c r="K655" t="s">
        <v>89</v>
      </c>
      <c r="L655" t="s">
        <v>90</v>
      </c>
      <c r="M655" t="s">
        <v>91</v>
      </c>
      <c r="N655">
        <v>3</v>
      </c>
      <c r="O655">
        <v>3328400</v>
      </c>
      <c r="P655">
        <v>0.2</v>
      </c>
      <c r="Q655">
        <v>7988160</v>
      </c>
      <c r="R655">
        <v>7436350.8300000001</v>
      </c>
      <c r="S655">
        <v>551809.17000000004</v>
      </c>
      <c r="T655" t="s">
        <v>60</v>
      </c>
      <c r="U655" t="str">
        <f t="shared" si="30"/>
        <v>2023-06</v>
      </c>
      <c r="V655">
        <f t="shared" si="31"/>
        <v>3</v>
      </c>
      <c r="W655" s="2">
        <f t="shared" si="32"/>
        <v>6.9078382255738494E-2</v>
      </c>
    </row>
    <row r="656" spans="1:23">
      <c r="A656" t="s">
        <v>1349</v>
      </c>
      <c r="B656" s="1">
        <v>45946</v>
      </c>
      <c r="C656" s="1">
        <v>45953</v>
      </c>
      <c r="D656" t="s">
        <v>863</v>
      </c>
      <c r="E656" t="s">
        <v>1096</v>
      </c>
      <c r="F656" t="s">
        <v>54</v>
      </c>
      <c r="G656" t="s">
        <v>80</v>
      </c>
      <c r="H656" t="s">
        <v>45</v>
      </c>
      <c r="I656" t="s">
        <v>46</v>
      </c>
      <c r="J656" t="s">
        <v>47</v>
      </c>
      <c r="K656" t="s">
        <v>128</v>
      </c>
      <c r="L656" t="s">
        <v>129</v>
      </c>
      <c r="M656" t="s">
        <v>130</v>
      </c>
      <c r="N656">
        <v>2</v>
      </c>
      <c r="O656">
        <v>1477500</v>
      </c>
      <c r="P656">
        <v>0</v>
      </c>
      <c r="Q656">
        <v>2955000</v>
      </c>
      <c r="R656">
        <v>2068359.73</v>
      </c>
      <c r="S656">
        <v>886640.27</v>
      </c>
      <c r="T656" t="s">
        <v>31</v>
      </c>
      <c r="U656" t="str">
        <f t="shared" si="30"/>
        <v>2025-10</v>
      </c>
      <c r="V656">
        <f t="shared" si="31"/>
        <v>7</v>
      </c>
      <c r="W656" s="2">
        <f t="shared" si="32"/>
        <v>0.30004746869712351</v>
      </c>
    </row>
    <row r="657" spans="1:23">
      <c r="A657" t="s">
        <v>1350</v>
      </c>
      <c r="B657" s="1">
        <v>44986</v>
      </c>
      <c r="C657" s="1">
        <v>44988</v>
      </c>
      <c r="D657" t="s">
        <v>293</v>
      </c>
      <c r="E657" t="s">
        <v>1351</v>
      </c>
      <c r="F657" t="s">
        <v>35</v>
      </c>
      <c r="G657" t="s">
        <v>169</v>
      </c>
      <c r="H657" t="s">
        <v>157</v>
      </c>
      <c r="I657" t="s">
        <v>57</v>
      </c>
      <c r="J657" t="s">
        <v>27</v>
      </c>
      <c r="K657" t="s">
        <v>179</v>
      </c>
      <c r="L657" t="s">
        <v>180</v>
      </c>
      <c r="M657" t="s">
        <v>181</v>
      </c>
      <c r="N657">
        <v>4</v>
      </c>
      <c r="O657">
        <v>58600</v>
      </c>
      <c r="P657">
        <v>0.25</v>
      </c>
      <c r="Q657">
        <v>175800</v>
      </c>
      <c r="R657">
        <v>128850.72</v>
      </c>
      <c r="S657">
        <v>46949.279999999999</v>
      </c>
      <c r="T657" t="s">
        <v>73</v>
      </c>
      <c r="U657" t="str">
        <f t="shared" si="30"/>
        <v>2023-03</v>
      </c>
      <c r="V657">
        <f t="shared" si="31"/>
        <v>2</v>
      </c>
      <c r="W657" s="2">
        <f t="shared" si="32"/>
        <v>0.26706075085324232</v>
      </c>
    </row>
    <row r="658" spans="1:23">
      <c r="A658" t="s">
        <v>1352</v>
      </c>
      <c r="B658" s="1">
        <v>45934</v>
      </c>
      <c r="C658" s="1">
        <v>45935</v>
      </c>
      <c r="D658" t="s">
        <v>964</v>
      </c>
      <c r="E658" t="s">
        <v>635</v>
      </c>
      <c r="F658" t="s">
        <v>54</v>
      </c>
      <c r="G658" t="s">
        <v>24</v>
      </c>
      <c r="H658" t="s">
        <v>25</v>
      </c>
      <c r="I658" t="s">
        <v>26</v>
      </c>
      <c r="J658" t="s">
        <v>27</v>
      </c>
      <c r="K658" t="s">
        <v>179</v>
      </c>
      <c r="L658" t="s">
        <v>180</v>
      </c>
      <c r="M658" t="s">
        <v>181</v>
      </c>
      <c r="N658">
        <v>3</v>
      </c>
      <c r="O658">
        <v>55000</v>
      </c>
      <c r="P658">
        <v>0.15</v>
      </c>
      <c r="Q658">
        <v>140250</v>
      </c>
      <c r="R658">
        <v>91444.74</v>
      </c>
      <c r="S658">
        <v>48805.26</v>
      </c>
      <c r="T658" t="s">
        <v>31</v>
      </c>
      <c r="U658" t="str">
        <f t="shared" si="30"/>
        <v>2025-10</v>
      </c>
      <c r="V658">
        <f t="shared" si="31"/>
        <v>1</v>
      </c>
      <c r="W658" s="2">
        <f t="shared" si="32"/>
        <v>0.34798759358288772</v>
      </c>
    </row>
    <row r="659" spans="1:23">
      <c r="A659" t="s">
        <v>1353</v>
      </c>
      <c r="B659" s="1">
        <v>45821</v>
      </c>
      <c r="C659" s="1">
        <v>45828</v>
      </c>
      <c r="D659" t="s">
        <v>1040</v>
      </c>
      <c r="E659" t="s">
        <v>467</v>
      </c>
      <c r="F659" t="s">
        <v>23</v>
      </c>
      <c r="G659" t="s">
        <v>44</v>
      </c>
      <c r="H659" t="s">
        <v>45</v>
      </c>
      <c r="I659" t="s">
        <v>46</v>
      </c>
      <c r="J659" t="s">
        <v>47</v>
      </c>
      <c r="K659" t="s">
        <v>48</v>
      </c>
      <c r="L659" t="s">
        <v>66</v>
      </c>
      <c r="M659" t="s">
        <v>67</v>
      </c>
      <c r="N659">
        <v>1</v>
      </c>
      <c r="O659">
        <v>132900</v>
      </c>
      <c r="P659">
        <v>0.25</v>
      </c>
      <c r="Q659">
        <v>99675</v>
      </c>
      <c r="R659">
        <v>80689.460000000006</v>
      </c>
      <c r="S659">
        <v>18985.54</v>
      </c>
      <c r="T659" t="s">
        <v>31</v>
      </c>
      <c r="U659" t="str">
        <f t="shared" si="30"/>
        <v>2025-06</v>
      </c>
      <c r="V659">
        <f t="shared" si="31"/>
        <v>7</v>
      </c>
      <c r="W659" s="2">
        <f t="shared" si="32"/>
        <v>0.19047444193629295</v>
      </c>
    </row>
    <row r="660" spans="1:23">
      <c r="A660" t="s">
        <v>1354</v>
      </c>
      <c r="B660" s="1">
        <v>45187</v>
      </c>
      <c r="C660" s="1">
        <v>45194</v>
      </c>
      <c r="D660" t="s">
        <v>533</v>
      </c>
      <c r="E660" t="s">
        <v>1355</v>
      </c>
      <c r="F660" t="s">
        <v>35</v>
      </c>
      <c r="G660" t="s">
        <v>55</v>
      </c>
      <c r="H660" t="s">
        <v>56</v>
      </c>
      <c r="I660" t="s">
        <v>57</v>
      </c>
      <c r="J660" t="s">
        <v>47</v>
      </c>
      <c r="K660" t="s">
        <v>48</v>
      </c>
      <c r="L660" t="s">
        <v>225</v>
      </c>
      <c r="M660" t="s">
        <v>226</v>
      </c>
      <c r="N660">
        <v>1</v>
      </c>
      <c r="O660">
        <v>234100</v>
      </c>
      <c r="P660">
        <v>0.2</v>
      </c>
      <c r="Q660">
        <v>187280</v>
      </c>
      <c r="R660">
        <v>151328.85999999999</v>
      </c>
      <c r="S660">
        <v>35951.14</v>
      </c>
      <c r="T660" t="s">
        <v>60</v>
      </c>
      <c r="U660" t="str">
        <f t="shared" si="30"/>
        <v>2023-09</v>
      </c>
      <c r="V660">
        <f t="shared" si="31"/>
        <v>7</v>
      </c>
      <c r="W660" s="2">
        <f t="shared" si="32"/>
        <v>0.19196465185818026</v>
      </c>
    </row>
    <row r="661" spans="1:23">
      <c r="A661" t="s">
        <v>1356</v>
      </c>
      <c r="B661" s="1">
        <v>45185</v>
      </c>
      <c r="C661" s="1">
        <v>45190</v>
      </c>
      <c r="D661" t="s">
        <v>1357</v>
      </c>
      <c r="E661" t="s">
        <v>391</v>
      </c>
      <c r="F661" t="s">
        <v>23</v>
      </c>
      <c r="G661" t="s">
        <v>44</v>
      </c>
      <c r="H661" t="s">
        <v>45</v>
      </c>
      <c r="I661" t="s">
        <v>46</v>
      </c>
      <c r="J661" t="s">
        <v>27</v>
      </c>
      <c r="K661" t="s">
        <v>28</v>
      </c>
      <c r="L661" t="s">
        <v>29</v>
      </c>
      <c r="M661" t="s">
        <v>30</v>
      </c>
      <c r="N661">
        <v>2</v>
      </c>
      <c r="O661">
        <v>73400</v>
      </c>
      <c r="P661">
        <v>0</v>
      </c>
      <c r="Q661">
        <v>146800</v>
      </c>
      <c r="R661">
        <v>77564.289999999994</v>
      </c>
      <c r="S661">
        <v>69235.710000000006</v>
      </c>
      <c r="T661" t="s">
        <v>40</v>
      </c>
      <c r="U661" t="str">
        <f t="shared" si="30"/>
        <v>2023-09</v>
      </c>
      <c r="V661">
        <f t="shared" si="31"/>
        <v>5</v>
      </c>
      <c r="W661" s="2">
        <f t="shared" si="32"/>
        <v>0.47163290190735702</v>
      </c>
    </row>
    <row r="662" spans="1:23">
      <c r="A662" t="s">
        <v>1358</v>
      </c>
      <c r="B662" s="1">
        <v>45507</v>
      </c>
      <c r="C662" s="1">
        <v>45509</v>
      </c>
      <c r="D662" t="s">
        <v>349</v>
      </c>
      <c r="E662" t="s">
        <v>1359</v>
      </c>
      <c r="F662" t="s">
        <v>23</v>
      </c>
      <c r="G662" t="s">
        <v>55</v>
      </c>
      <c r="H662" t="s">
        <v>56</v>
      </c>
      <c r="I662" t="s">
        <v>57</v>
      </c>
      <c r="J662" t="s">
        <v>27</v>
      </c>
      <c r="K662" t="s">
        <v>100</v>
      </c>
      <c r="L662" t="s">
        <v>101</v>
      </c>
      <c r="M662" t="s">
        <v>102</v>
      </c>
      <c r="N662">
        <v>1</v>
      </c>
      <c r="O662">
        <v>63000</v>
      </c>
      <c r="P662">
        <v>0.1</v>
      </c>
      <c r="Q662">
        <v>56700</v>
      </c>
      <c r="R662">
        <v>35760.19</v>
      </c>
      <c r="S662">
        <v>20939.810000000001</v>
      </c>
      <c r="T662" t="s">
        <v>31</v>
      </c>
      <c r="U662" t="str">
        <f t="shared" si="30"/>
        <v>2024-08</v>
      </c>
      <c r="V662">
        <f t="shared" si="31"/>
        <v>2</v>
      </c>
      <c r="W662" s="2">
        <f t="shared" si="32"/>
        <v>0.36930881834215168</v>
      </c>
    </row>
    <row r="663" spans="1:23">
      <c r="A663" t="s">
        <v>1360</v>
      </c>
      <c r="B663" s="1">
        <v>45698</v>
      </c>
      <c r="C663" s="1">
        <v>45699</v>
      </c>
      <c r="D663" t="s">
        <v>816</v>
      </c>
      <c r="E663" t="s">
        <v>1214</v>
      </c>
      <c r="F663" t="s">
        <v>35</v>
      </c>
      <c r="G663" t="s">
        <v>80</v>
      </c>
      <c r="H663" t="s">
        <v>45</v>
      </c>
      <c r="I663" t="s">
        <v>46</v>
      </c>
      <c r="J663" t="s">
        <v>27</v>
      </c>
      <c r="K663" t="s">
        <v>179</v>
      </c>
      <c r="L663" t="s">
        <v>180</v>
      </c>
      <c r="M663" t="s">
        <v>181</v>
      </c>
      <c r="N663">
        <v>5</v>
      </c>
      <c r="O663">
        <v>61900</v>
      </c>
      <c r="P663">
        <v>0</v>
      </c>
      <c r="Q663">
        <v>309500</v>
      </c>
      <c r="R663">
        <v>171522.27</v>
      </c>
      <c r="S663">
        <v>137977.73000000001</v>
      </c>
      <c r="T663" t="s">
        <v>73</v>
      </c>
      <c r="U663" t="str">
        <f t="shared" si="30"/>
        <v>2025-02</v>
      </c>
      <c r="V663">
        <f t="shared" si="31"/>
        <v>1</v>
      </c>
      <c r="W663" s="2">
        <f t="shared" si="32"/>
        <v>0.44580849757673668</v>
      </c>
    </row>
    <row r="664" spans="1:23">
      <c r="A664" t="s">
        <v>1361</v>
      </c>
      <c r="B664" s="1">
        <v>45729</v>
      </c>
      <c r="C664" s="1">
        <v>45732</v>
      </c>
      <c r="D664" t="s">
        <v>62</v>
      </c>
      <c r="E664" t="s">
        <v>565</v>
      </c>
      <c r="F664" t="s">
        <v>35</v>
      </c>
      <c r="G664" t="s">
        <v>140</v>
      </c>
      <c r="H664" t="s">
        <v>141</v>
      </c>
      <c r="I664" t="s">
        <v>46</v>
      </c>
      <c r="J664" t="s">
        <v>27</v>
      </c>
      <c r="K664" t="s">
        <v>28</v>
      </c>
      <c r="L664" t="s">
        <v>71</v>
      </c>
      <c r="M664" t="s">
        <v>72</v>
      </c>
      <c r="N664">
        <v>2</v>
      </c>
      <c r="O664">
        <v>45200</v>
      </c>
      <c r="P664">
        <v>0.05</v>
      </c>
      <c r="Q664">
        <v>85880</v>
      </c>
      <c r="R664">
        <v>47049.23</v>
      </c>
      <c r="S664">
        <v>38830.769999999997</v>
      </c>
      <c r="T664" t="s">
        <v>60</v>
      </c>
      <c r="U664" t="str">
        <f t="shared" si="30"/>
        <v>2025-03</v>
      </c>
      <c r="V664">
        <f t="shared" si="31"/>
        <v>3</v>
      </c>
      <c r="W664" s="2">
        <f t="shared" si="32"/>
        <v>0.45215149045179315</v>
      </c>
    </row>
    <row r="665" spans="1:23">
      <c r="A665" t="s">
        <v>1362</v>
      </c>
      <c r="B665" s="1">
        <v>45506</v>
      </c>
      <c r="C665" s="1">
        <v>45509</v>
      </c>
      <c r="D665" t="s">
        <v>671</v>
      </c>
      <c r="E665" t="s">
        <v>1202</v>
      </c>
      <c r="F665" t="s">
        <v>23</v>
      </c>
      <c r="G665" t="s">
        <v>87</v>
      </c>
      <c r="H665" t="s">
        <v>88</v>
      </c>
      <c r="I665" t="s">
        <v>46</v>
      </c>
      <c r="J665" t="s">
        <v>27</v>
      </c>
      <c r="K665" t="s">
        <v>28</v>
      </c>
      <c r="L665" t="s">
        <v>29</v>
      </c>
      <c r="M665" t="s">
        <v>30</v>
      </c>
      <c r="N665">
        <v>2</v>
      </c>
      <c r="O665">
        <v>73000</v>
      </c>
      <c r="P665">
        <v>0.2</v>
      </c>
      <c r="Q665">
        <v>116800</v>
      </c>
      <c r="R665">
        <v>75452.72</v>
      </c>
      <c r="S665">
        <v>41347.279999999999</v>
      </c>
      <c r="T665" t="s">
        <v>73</v>
      </c>
      <c r="U665" t="str">
        <f t="shared" si="30"/>
        <v>2024-08</v>
      </c>
      <c r="V665">
        <f t="shared" si="31"/>
        <v>3</v>
      </c>
      <c r="W665" s="2">
        <f t="shared" si="32"/>
        <v>0.35400068493150683</v>
      </c>
    </row>
    <row r="666" spans="1:23">
      <c r="A666" t="s">
        <v>1363</v>
      </c>
      <c r="B666" s="1">
        <v>45262</v>
      </c>
      <c r="C666" s="1">
        <v>45267</v>
      </c>
      <c r="D666" t="s">
        <v>405</v>
      </c>
      <c r="E666" t="s">
        <v>1364</v>
      </c>
      <c r="F666" t="s">
        <v>54</v>
      </c>
      <c r="G666" t="s">
        <v>95</v>
      </c>
      <c r="H666" t="s">
        <v>96</v>
      </c>
      <c r="I666" t="s">
        <v>26</v>
      </c>
      <c r="J666" t="s">
        <v>47</v>
      </c>
      <c r="K666" t="s">
        <v>128</v>
      </c>
      <c r="L666" t="s">
        <v>129</v>
      </c>
      <c r="M666" t="s">
        <v>130</v>
      </c>
      <c r="N666">
        <v>1</v>
      </c>
      <c r="O666">
        <v>1543700</v>
      </c>
      <c r="P666">
        <v>0.15</v>
      </c>
      <c r="Q666">
        <v>1312145</v>
      </c>
      <c r="R666">
        <v>1057210.3600000001</v>
      </c>
      <c r="S666">
        <v>254934.64</v>
      </c>
      <c r="T666" t="s">
        <v>73</v>
      </c>
      <c r="U666" t="str">
        <f t="shared" si="30"/>
        <v>2023-12</v>
      </c>
      <c r="V666">
        <f t="shared" si="31"/>
        <v>5</v>
      </c>
      <c r="W666" s="2">
        <f t="shared" si="32"/>
        <v>0.19428846659477422</v>
      </c>
    </row>
    <row r="667" spans="1:23">
      <c r="A667" t="s">
        <v>1365</v>
      </c>
      <c r="B667" s="1">
        <v>45229</v>
      </c>
      <c r="C667" s="1">
        <v>45233</v>
      </c>
      <c r="D667" t="s">
        <v>1366</v>
      </c>
      <c r="E667" t="s">
        <v>372</v>
      </c>
      <c r="F667" t="s">
        <v>54</v>
      </c>
      <c r="G667" t="s">
        <v>80</v>
      </c>
      <c r="H667" t="s">
        <v>45</v>
      </c>
      <c r="I667" t="s">
        <v>46</v>
      </c>
      <c r="J667" t="s">
        <v>27</v>
      </c>
      <c r="K667" t="s">
        <v>116</v>
      </c>
      <c r="L667" t="s">
        <v>117</v>
      </c>
      <c r="M667" t="s">
        <v>118</v>
      </c>
      <c r="N667">
        <v>2</v>
      </c>
      <c r="O667">
        <v>27100</v>
      </c>
      <c r="P667">
        <v>0.25</v>
      </c>
      <c r="Q667">
        <v>40650</v>
      </c>
      <c r="R667">
        <v>25635.24</v>
      </c>
      <c r="S667">
        <v>15014.76</v>
      </c>
      <c r="T667" t="s">
        <v>31</v>
      </c>
      <c r="U667" t="str">
        <f t="shared" si="30"/>
        <v>2023-10</v>
      </c>
      <c r="V667">
        <f t="shared" si="31"/>
        <v>4</v>
      </c>
      <c r="W667" s="2">
        <f t="shared" si="32"/>
        <v>0.36936678966789671</v>
      </c>
    </row>
    <row r="668" spans="1:23">
      <c r="A668" t="s">
        <v>1367</v>
      </c>
      <c r="B668" s="1">
        <v>45231</v>
      </c>
      <c r="C668" s="1">
        <v>45237</v>
      </c>
      <c r="D668" t="s">
        <v>1000</v>
      </c>
      <c r="E668" t="s">
        <v>818</v>
      </c>
      <c r="F668" t="s">
        <v>23</v>
      </c>
      <c r="G668" t="s">
        <v>140</v>
      </c>
      <c r="H668" t="s">
        <v>141</v>
      </c>
      <c r="I668" t="s">
        <v>46</v>
      </c>
      <c r="J668" t="s">
        <v>27</v>
      </c>
      <c r="K668" t="s">
        <v>28</v>
      </c>
      <c r="L668" t="s">
        <v>29</v>
      </c>
      <c r="M668" t="s">
        <v>30</v>
      </c>
      <c r="N668">
        <v>2</v>
      </c>
      <c r="O668">
        <v>71500</v>
      </c>
      <c r="P668">
        <v>0.25</v>
      </c>
      <c r="Q668">
        <v>107250</v>
      </c>
      <c r="R668">
        <v>79912.17</v>
      </c>
      <c r="S668">
        <v>27337.83</v>
      </c>
      <c r="T668" t="s">
        <v>40</v>
      </c>
      <c r="U668" t="str">
        <f t="shared" si="30"/>
        <v>2023-11</v>
      </c>
      <c r="V668">
        <f t="shared" si="31"/>
        <v>6</v>
      </c>
      <c r="W668" s="2">
        <f t="shared" si="32"/>
        <v>0.25489818181818186</v>
      </c>
    </row>
    <row r="669" spans="1:23">
      <c r="A669" t="s">
        <v>1368</v>
      </c>
      <c r="B669" s="1">
        <v>45110</v>
      </c>
      <c r="C669" s="1">
        <v>45117</v>
      </c>
      <c r="D669" t="s">
        <v>491</v>
      </c>
      <c r="E669" t="s">
        <v>1048</v>
      </c>
      <c r="F669" t="s">
        <v>23</v>
      </c>
      <c r="G669" t="s">
        <v>169</v>
      </c>
      <c r="H669" t="s">
        <v>157</v>
      </c>
      <c r="I669" t="s">
        <v>57</v>
      </c>
      <c r="J669" t="s">
        <v>36</v>
      </c>
      <c r="K669" t="s">
        <v>37</v>
      </c>
      <c r="L669" t="s">
        <v>58</v>
      </c>
      <c r="M669" t="s">
        <v>59</v>
      </c>
      <c r="N669">
        <v>2</v>
      </c>
      <c r="O669">
        <v>806000</v>
      </c>
      <c r="P669">
        <v>0</v>
      </c>
      <c r="Q669">
        <v>1612000</v>
      </c>
      <c r="R669">
        <v>1062048.3999999999</v>
      </c>
      <c r="S669">
        <v>549951.6</v>
      </c>
      <c r="T669" t="s">
        <v>40</v>
      </c>
      <c r="U669" t="str">
        <f t="shared" si="30"/>
        <v>2023-07</v>
      </c>
      <c r="V669">
        <f t="shared" si="31"/>
        <v>7</v>
      </c>
      <c r="W669" s="2">
        <f t="shared" si="32"/>
        <v>0.34116104218362281</v>
      </c>
    </row>
    <row r="670" spans="1:23">
      <c r="A670" t="s">
        <v>1369</v>
      </c>
      <c r="B670" s="1">
        <v>45909</v>
      </c>
      <c r="C670" s="1">
        <v>45912</v>
      </c>
      <c r="D670" t="s">
        <v>242</v>
      </c>
      <c r="E670" t="s">
        <v>1370</v>
      </c>
      <c r="F670" t="s">
        <v>23</v>
      </c>
      <c r="G670" t="s">
        <v>55</v>
      </c>
      <c r="H670" t="s">
        <v>56</v>
      </c>
      <c r="I670" t="s">
        <v>57</v>
      </c>
      <c r="J670" t="s">
        <v>27</v>
      </c>
      <c r="K670" t="s">
        <v>100</v>
      </c>
      <c r="L670" t="s">
        <v>105</v>
      </c>
      <c r="M670" t="s">
        <v>106</v>
      </c>
      <c r="N670">
        <v>10</v>
      </c>
      <c r="O670">
        <v>80100</v>
      </c>
      <c r="P670">
        <v>0</v>
      </c>
      <c r="Q670">
        <v>801000</v>
      </c>
      <c r="R670">
        <v>448914.7</v>
      </c>
      <c r="S670">
        <v>352085.3</v>
      </c>
      <c r="T670" t="s">
        <v>40</v>
      </c>
      <c r="U670" t="str">
        <f t="shared" si="30"/>
        <v>2025-09</v>
      </c>
      <c r="V670">
        <f t="shared" si="31"/>
        <v>3</v>
      </c>
      <c r="W670" s="2">
        <f t="shared" si="32"/>
        <v>0.43955717852684145</v>
      </c>
    </row>
    <row r="671" spans="1:23">
      <c r="A671" t="s">
        <v>1371</v>
      </c>
      <c r="B671" s="1">
        <v>45305</v>
      </c>
      <c r="C671" s="1">
        <v>45309</v>
      </c>
      <c r="D671" t="s">
        <v>788</v>
      </c>
      <c r="E671" t="s">
        <v>1372</v>
      </c>
      <c r="F671" t="s">
        <v>35</v>
      </c>
      <c r="G671" t="s">
        <v>169</v>
      </c>
      <c r="H671" t="s">
        <v>157</v>
      </c>
      <c r="I671" t="s">
        <v>57</v>
      </c>
      <c r="J671" t="s">
        <v>27</v>
      </c>
      <c r="K671" t="s">
        <v>100</v>
      </c>
      <c r="L671" t="s">
        <v>101</v>
      </c>
      <c r="M671" t="s">
        <v>102</v>
      </c>
      <c r="N671">
        <v>1</v>
      </c>
      <c r="O671">
        <v>62900</v>
      </c>
      <c r="P671">
        <v>0.1</v>
      </c>
      <c r="Q671">
        <v>56610</v>
      </c>
      <c r="R671">
        <v>36547.800000000003</v>
      </c>
      <c r="S671">
        <v>20062.2</v>
      </c>
      <c r="T671" t="s">
        <v>40</v>
      </c>
      <c r="U671" t="str">
        <f t="shared" si="30"/>
        <v>2024-01</v>
      </c>
      <c r="V671">
        <f t="shared" si="31"/>
        <v>4</v>
      </c>
      <c r="W671" s="2">
        <f t="shared" si="32"/>
        <v>0.35439321674615792</v>
      </c>
    </row>
    <row r="672" spans="1:23">
      <c r="A672" t="s">
        <v>1373</v>
      </c>
      <c r="B672" s="1">
        <v>45351</v>
      </c>
      <c r="C672" s="1">
        <v>45357</v>
      </c>
      <c r="D672" t="s">
        <v>339</v>
      </c>
      <c r="E672" t="s">
        <v>1374</v>
      </c>
      <c r="F672" t="s">
        <v>35</v>
      </c>
      <c r="G672" t="s">
        <v>55</v>
      </c>
      <c r="H672" t="s">
        <v>56</v>
      </c>
      <c r="I672" t="s">
        <v>57</v>
      </c>
      <c r="J672" t="s">
        <v>27</v>
      </c>
      <c r="K672" t="s">
        <v>28</v>
      </c>
      <c r="L672" t="s">
        <v>71</v>
      </c>
      <c r="M672" t="s">
        <v>72</v>
      </c>
      <c r="N672">
        <v>3</v>
      </c>
      <c r="O672">
        <v>48400</v>
      </c>
      <c r="P672">
        <v>0</v>
      </c>
      <c r="Q672">
        <v>145200</v>
      </c>
      <c r="R672">
        <v>72993.2</v>
      </c>
      <c r="S672">
        <v>72206.8</v>
      </c>
      <c r="T672" t="s">
        <v>31</v>
      </c>
      <c r="U672" t="str">
        <f t="shared" si="30"/>
        <v>2024-02</v>
      </c>
      <c r="V672">
        <f t="shared" si="31"/>
        <v>6</v>
      </c>
      <c r="W672" s="2">
        <f t="shared" si="32"/>
        <v>0.49729201101928378</v>
      </c>
    </row>
    <row r="673" spans="1:23">
      <c r="A673" t="s">
        <v>1375</v>
      </c>
      <c r="B673" s="1">
        <v>45106</v>
      </c>
      <c r="C673" s="1">
        <v>45111</v>
      </c>
      <c r="D673" t="s">
        <v>698</v>
      </c>
      <c r="E673" t="s">
        <v>885</v>
      </c>
      <c r="F673" t="s">
        <v>54</v>
      </c>
      <c r="G673" t="s">
        <v>44</v>
      </c>
      <c r="H673" t="s">
        <v>45</v>
      </c>
      <c r="I673" t="s">
        <v>46</v>
      </c>
      <c r="J673" t="s">
        <v>47</v>
      </c>
      <c r="K673" t="s">
        <v>142</v>
      </c>
      <c r="L673" t="s">
        <v>158</v>
      </c>
      <c r="M673" t="s">
        <v>159</v>
      </c>
      <c r="N673">
        <v>2</v>
      </c>
      <c r="O673">
        <v>8362100</v>
      </c>
      <c r="P673">
        <v>0.05</v>
      </c>
      <c r="Q673">
        <v>15887990</v>
      </c>
      <c r="R673">
        <v>13995582.689999999</v>
      </c>
      <c r="S673">
        <v>1892407.31</v>
      </c>
      <c r="T673" t="s">
        <v>60</v>
      </c>
      <c r="U673" t="str">
        <f t="shared" si="30"/>
        <v>2023-06</v>
      </c>
      <c r="V673">
        <f t="shared" si="31"/>
        <v>5</v>
      </c>
      <c r="W673" s="2">
        <f t="shared" si="32"/>
        <v>0.11910929639306168</v>
      </c>
    </row>
    <row r="674" spans="1:23">
      <c r="A674" t="s">
        <v>1376</v>
      </c>
      <c r="B674" s="1">
        <v>45021</v>
      </c>
      <c r="C674" s="1">
        <v>45026</v>
      </c>
      <c r="D674" t="s">
        <v>843</v>
      </c>
      <c r="E674" t="s">
        <v>509</v>
      </c>
      <c r="F674" t="s">
        <v>23</v>
      </c>
      <c r="G674" t="s">
        <v>87</v>
      </c>
      <c r="H674" t="s">
        <v>88</v>
      </c>
      <c r="I674" t="s">
        <v>46</v>
      </c>
      <c r="J674" t="s">
        <v>27</v>
      </c>
      <c r="K674" t="s">
        <v>179</v>
      </c>
      <c r="L674" t="s">
        <v>244</v>
      </c>
      <c r="M674" t="s">
        <v>245</v>
      </c>
      <c r="N674">
        <v>3</v>
      </c>
      <c r="O674">
        <v>38600</v>
      </c>
      <c r="P674">
        <v>0.3</v>
      </c>
      <c r="Q674">
        <v>81060</v>
      </c>
      <c r="R674">
        <v>57655.39</v>
      </c>
      <c r="S674">
        <v>23404.61</v>
      </c>
      <c r="T674" t="s">
        <v>40</v>
      </c>
      <c r="U674" t="str">
        <f t="shared" si="30"/>
        <v>2023-04</v>
      </c>
      <c r="V674">
        <f t="shared" si="31"/>
        <v>5</v>
      </c>
      <c r="W674" s="2">
        <f t="shared" si="32"/>
        <v>0.28873192696767824</v>
      </c>
    </row>
    <row r="675" spans="1:23">
      <c r="A675" t="s">
        <v>1377</v>
      </c>
      <c r="B675" s="1">
        <v>45018</v>
      </c>
      <c r="C675" s="1">
        <v>45020</v>
      </c>
      <c r="D675" t="s">
        <v>186</v>
      </c>
      <c r="E675" t="s">
        <v>76</v>
      </c>
      <c r="F675" t="s">
        <v>54</v>
      </c>
      <c r="G675" t="s">
        <v>95</v>
      </c>
      <c r="H675" t="s">
        <v>96</v>
      </c>
      <c r="I675" t="s">
        <v>26</v>
      </c>
      <c r="J675" t="s">
        <v>47</v>
      </c>
      <c r="K675" t="s">
        <v>173</v>
      </c>
      <c r="L675" t="s">
        <v>203</v>
      </c>
      <c r="M675" t="s">
        <v>204</v>
      </c>
      <c r="N675">
        <v>8</v>
      </c>
      <c r="O675">
        <v>3303900</v>
      </c>
      <c r="P675">
        <v>0</v>
      </c>
      <c r="Q675">
        <v>26431200</v>
      </c>
      <c r="R675">
        <v>20020990.079999998</v>
      </c>
      <c r="S675">
        <v>6410209.9199999999</v>
      </c>
      <c r="T675" t="s">
        <v>73</v>
      </c>
      <c r="U675" t="str">
        <f t="shared" si="30"/>
        <v>2023-04</v>
      </c>
      <c r="V675">
        <f t="shared" si="31"/>
        <v>2</v>
      </c>
      <c r="W675" s="2">
        <f t="shared" si="32"/>
        <v>0.24252436211749751</v>
      </c>
    </row>
    <row r="676" spans="1:23">
      <c r="A676" t="s">
        <v>1378</v>
      </c>
      <c r="B676" s="1">
        <v>45791</v>
      </c>
      <c r="C676" s="1">
        <v>45792</v>
      </c>
      <c r="D676" t="s">
        <v>435</v>
      </c>
      <c r="E676" t="s">
        <v>1379</v>
      </c>
      <c r="F676" t="s">
        <v>35</v>
      </c>
      <c r="G676" t="s">
        <v>169</v>
      </c>
      <c r="H676" t="s">
        <v>157</v>
      </c>
      <c r="I676" t="s">
        <v>57</v>
      </c>
      <c r="J676" t="s">
        <v>36</v>
      </c>
      <c r="K676" t="s">
        <v>89</v>
      </c>
      <c r="L676" t="s">
        <v>151</v>
      </c>
      <c r="M676" t="s">
        <v>152</v>
      </c>
      <c r="N676">
        <v>2</v>
      </c>
      <c r="O676">
        <v>1147900</v>
      </c>
      <c r="P676">
        <v>0</v>
      </c>
      <c r="Q676">
        <v>2295800</v>
      </c>
      <c r="R676">
        <v>1546330.14</v>
      </c>
      <c r="S676">
        <v>749469.86</v>
      </c>
      <c r="T676" t="s">
        <v>73</v>
      </c>
      <c r="U676" t="str">
        <f t="shared" si="30"/>
        <v>2025-05</v>
      </c>
      <c r="V676">
        <f t="shared" si="31"/>
        <v>1</v>
      </c>
      <c r="W676" s="2">
        <f t="shared" si="32"/>
        <v>0.32645259168917151</v>
      </c>
    </row>
    <row r="677" spans="1:23">
      <c r="A677" t="s">
        <v>1380</v>
      </c>
      <c r="B677" s="1">
        <v>45071</v>
      </c>
      <c r="C677" s="1">
        <v>45077</v>
      </c>
      <c r="D677" t="s">
        <v>477</v>
      </c>
      <c r="E677" t="s">
        <v>94</v>
      </c>
      <c r="F677" t="s">
        <v>35</v>
      </c>
      <c r="G677" t="s">
        <v>156</v>
      </c>
      <c r="H677" t="s">
        <v>157</v>
      </c>
      <c r="I677" t="s">
        <v>57</v>
      </c>
      <c r="J677" t="s">
        <v>27</v>
      </c>
      <c r="K677" t="s">
        <v>28</v>
      </c>
      <c r="L677" t="s">
        <v>29</v>
      </c>
      <c r="M677" t="s">
        <v>30</v>
      </c>
      <c r="N677">
        <v>2</v>
      </c>
      <c r="O677">
        <v>63500</v>
      </c>
      <c r="P677">
        <v>0.3</v>
      </c>
      <c r="Q677">
        <v>88900</v>
      </c>
      <c r="R677">
        <v>69016.960000000006</v>
      </c>
      <c r="S677">
        <v>19883.04</v>
      </c>
      <c r="T677" t="s">
        <v>73</v>
      </c>
      <c r="U677" t="str">
        <f t="shared" si="30"/>
        <v>2023-05</v>
      </c>
      <c r="V677">
        <f t="shared" si="31"/>
        <v>6</v>
      </c>
      <c r="W677" s="2">
        <f t="shared" si="32"/>
        <v>0.2236562429696288</v>
      </c>
    </row>
    <row r="678" spans="1:23">
      <c r="A678" t="s">
        <v>1381</v>
      </c>
      <c r="B678" s="1">
        <v>45085</v>
      </c>
      <c r="C678" s="1">
        <v>45088</v>
      </c>
      <c r="D678" t="s">
        <v>491</v>
      </c>
      <c r="E678" t="s">
        <v>1078</v>
      </c>
      <c r="F678" t="s">
        <v>23</v>
      </c>
      <c r="G678" t="s">
        <v>87</v>
      </c>
      <c r="H678" t="s">
        <v>88</v>
      </c>
      <c r="I678" t="s">
        <v>46</v>
      </c>
      <c r="J678" t="s">
        <v>47</v>
      </c>
      <c r="K678" t="s">
        <v>142</v>
      </c>
      <c r="L678" t="s">
        <v>143</v>
      </c>
      <c r="M678" t="s">
        <v>144</v>
      </c>
      <c r="N678">
        <v>3</v>
      </c>
      <c r="O678">
        <v>5976900</v>
      </c>
      <c r="P678">
        <v>0.05</v>
      </c>
      <c r="Q678">
        <v>17034165</v>
      </c>
      <c r="R678">
        <v>14136892.23</v>
      </c>
      <c r="S678">
        <v>2897272.77</v>
      </c>
      <c r="T678" t="s">
        <v>60</v>
      </c>
      <c r="U678" t="str">
        <f t="shared" si="30"/>
        <v>2023-06</v>
      </c>
      <c r="V678">
        <f t="shared" si="31"/>
        <v>3</v>
      </c>
      <c r="W678" s="2">
        <f t="shared" si="32"/>
        <v>0.17008598719103638</v>
      </c>
    </row>
    <row r="679" spans="1:23">
      <c r="A679" t="s">
        <v>1382</v>
      </c>
      <c r="B679" s="1">
        <v>45127</v>
      </c>
      <c r="C679" s="1">
        <v>45131</v>
      </c>
      <c r="D679" t="s">
        <v>296</v>
      </c>
      <c r="E679" t="s">
        <v>1005</v>
      </c>
      <c r="F679" t="s">
        <v>54</v>
      </c>
      <c r="G679" t="s">
        <v>169</v>
      </c>
      <c r="H679" t="s">
        <v>157</v>
      </c>
      <c r="I679" t="s">
        <v>57</v>
      </c>
      <c r="J679" t="s">
        <v>27</v>
      </c>
      <c r="K679" t="s">
        <v>28</v>
      </c>
      <c r="L679" t="s">
        <v>29</v>
      </c>
      <c r="M679" t="s">
        <v>30</v>
      </c>
      <c r="N679">
        <v>1</v>
      </c>
      <c r="O679">
        <v>72100</v>
      </c>
      <c r="P679">
        <v>0</v>
      </c>
      <c r="Q679">
        <v>72100</v>
      </c>
      <c r="R679">
        <v>41144.46</v>
      </c>
      <c r="S679">
        <v>30955.54</v>
      </c>
      <c r="T679" t="s">
        <v>31</v>
      </c>
      <c r="U679" t="str">
        <f t="shared" si="30"/>
        <v>2023-07</v>
      </c>
      <c r="V679">
        <f t="shared" si="31"/>
        <v>4</v>
      </c>
      <c r="W679" s="2">
        <f t="shared" si="32"/>
        <v>0.42934174757281557</v>
      </c>
    </row>
    <row r="680" spans="1:23">
      <c r="A680" t="s">
        <v>1383</v>
      </c>
      <c r="B680" s="1">
        <v>45641</v>
      </c>
      <c r="C680" s="1">
        <v>45647</v>
      </c>
      <c r="D680" t="s">
        <v>594</v>
      </c>
      <c r="E680" t="s">
        <v>687</v>
      </c>
      <c r="F680" t="s">
        <v>23</v>
      </c>
      <c r="G680" t="s">
        <v>87</v>
      </c>
      <c r="H680" t="s">
        <v>88</v>
      </c>
      <c r="I680" t="s">
        <v>46</v>
      </c>
      <c r="J680" t="s">
        <v>36</v>
      </c>
      <c r="K680" t="s">
        <v>89</v>
      </c>
      <c r="L680" t="s">
        <v>151</v>
      </c>
      <c r="M680" t="s">
        <v>152</v>
      </c>
      <c r="N680">
        <v>6</v>
      </c>
      <c r="O680">
        <v>1172000</v>
      </c>
      <c r="P680">
        <v>0.25</v>
      </c>
      <c r="Q680">
        <v>5274000</v>
      </c>
      <c r="R680">
        <v>4714470.55</v>
      </c>
      <c r="S680">
        <v>559529.44999999995</v>
      </c>
      <c r="T680" t="s">
        <v>31</v>
      </c>
      <c r="U680" t="str">
        <f t="shared" si="30"/>
        <v>2024-12</v>
      </c>
      <c r="V680">
        <f t="shared" si="31"/>
        <v>6</v>
      </c>
      <c r="W680" s="2">
        <f t="shared" si="32"/>
        <v>0.10609204588547591</v>
      </c>
    </row>
    <row r="681" spans="1:23">
      <c r="A681" t="s">
        <v>1384</v>
      </c>
      <c r="B681" s="1">
        <v>46015</v>
      </c>
      <c r="C681" s="1">
        <v>46020</v>
      </c>
      <c r="D681" t="s">
        <v>520</v>
      </c>
      <c r="E681" t="s">
        <v>998</v>
      </c>
      <c r="F681" t="s">
        <v>35</v>
      </c>
      <c r="G681" t="s">
        <v>64</v>
      </c>
      <c r="H681" t="s">
        <v>65</v>
      </c>
      <c r="I681" t="s">
        <v>57</v>
      </c>
      <c r="J681" t="s">
        <v>36</v>
      </c>
      <c r="K681" t="s">
        <v>89</v>
      </c>
      <c r="L681" t="s">
        <v>90</v>
      </c>
      <c r="M681" t="s">
        <v>91</v>
      </c>
      <c r="N681">
        <v>1</v>
      </c>
      <c r="O681">
        <v>3190900</v>
      </c>
      <c r="P681">
        <v>0</v>
      </c>
      <c r="Q681">
        <v>3190900</v>
      </c>
      <c r="R681">
        <v>2158642.3199999998</v>
      </c>
      <c r="S681">
        <v>1032257.68</v>
      </c>
      <c r="T681" t="s">
        <v>60</v>
      </c>
      <c r="U681" t="str">
        <f t="shared" si="30"/>
        <v>2025-12</v>
      </c>
      <c r="V681">
        <f t="shared" si="31"/>
        <v>5</v>
      </c>
      <c r="W681" s="2">
        <f t="shared" si="32"/>
        <v>0.32350047948854554</v>
      </c>
    </row>
    <row r="682" spans="1:23">
      <c r="A682" t="s">
        <v>1385</v>
      </c>
      <c r="B682" s="1">
        <v>45474</v>
      </c>
      <c r="C682" s="1">
        <v>45475</v>
      </c>
      <c r="D682" t="s">
        <v>553</v>
      </c>
      <c r="E682" t="s">
        <v>531</v>
      </c>
      <c r="F682" t="s">
        <v>35</v>
      </c>
      <c r="G682" t="s">
        <v>24</v>
      </c>
      <c r="H682" t="s">
        <v>25</v>
      </c>
      <c r="I682" t="s">
        <v>26</v>
      </c>
      <c r="J682" t="s">
        <v>27</v>
      </c>
      <c r="K682" t="s">
        <v>179</v>
      </c>
      <c r="L682" t="s">
        <v>180</v>
      </c>
      <c r="M682" t="s">
        <v>181</v>
      </c>
      <c r="N682">
        <v>3</v>
      </c>
      <c r="O682">
        <v>52700</v>
      </c>
      <c r="P682">
        <v>0.3</v>
      </c>
      <c r="Q682">
        <v>110670</v>
      </c>
      <c r="R682">
        <v>88301.14</v>
      </c>
      <c r="S682">
        <v>22368.86</v>
      </c>
      <c r="T682" t="s">
        <v>40</v>
      </c>
      <c r="U682" t="str">
        <f t="shared" si="30"/>
        <v>2024-07</v>
      </c>
      <c r="V682">
        <f t="shared" si="31"/>
        <v>1</v>
      </c>
      <c r="W682" s="2">
        <f t="shared" si="32"/>
        <v>0.20212216499503027</v>
      </c>
    </row>
    <row r="683" spans="1:23">
      <c r="A683" t="s">
        <v>1386</v>
      </c>
      <c r="B683" s="1">
        <v>45803</v>
      </c>
      <c r="C683" s="1">
        <v>45808</v>
      </c>
      <c r="D683" t="s">
        <v>564</v>
      </c>
      <c r="E683" t="s">
        <v>1370</v>
      </c>
      <c r="F683" t="s">
        <v>35</v>
      </c>
      <c r="G683" t="s">
        <v>95</v>
      </c>
      <c r="H683" t="s">
        <v>96</v>
      </c>
      <c r="I683" t="s">
        <v>26</v>
      </c>
      <c r="J683" t="s">
        <v>27</v>
      </c>
      <c r="K683" t="s">
        <v>28</v>
      </c>
      <c r="L683" t="s">
        <v>29</v>
      </c>
      <c r="M683" t="s">
        <v>30</v>
      </c>
      <c r="N683">
        <v>8</v>
      </c>
      <c r="O683">
        <v>67300</v>
      </c>
      <c r="P683">
        <v>0</v>
      </c>
      <c r="Q683">
        <v>538400</v>
      </c>
      <c r="R683">
        <v>279606.13</v>
      </c>
      <c r="S683">
        <v>258793.87</v>
      </c>
      <c r="T683" t="s">
        <v>31</v>
      </c>
      <c r="U683" t="str">
        <f t="shared" si="30"/>
        <v>2025-05</v>
      </c>
      <c r="V683">
        <f t="shared" si="31"/>
        <v>5</v>
      </c>
      <c r="W683" s="2">
        <f t="shared" si="32"/>
        <v>0.48067212109955421</v>
      </c>
    </row>
    <row r="684" spans="1:23">
      <c r="A684" t="s">
        <v>1387</v>
      </c>
      <c r="B684" s="1">
        <v>45418</v>
      </c>
      <c r="C684" s="1">
        <v>45419</v>
      </c>
      <c r="D684" t="s">
        <v>293</v>
      </c>
      <c r="E684" t="s">
        <v>258</v>
      </c>
      <c r="F684" t="s">
        <v>35</v>
      </c>
      <c r="G684" t="s">
        <v>44</v>
      </c>
      <c r="H684" t="s">
        <v>45</v>
      </c>
      <c r="I684" t="s">
        <v>46</v>
      </c>
      <c r="J684" t="s">
        <v>47</v>
      </c>
      <c r="K684" t="s">
        <v>142</v>
      </c>
      <c r="L684" t="s">
        <v>158</v>
      </c>
      <c r="M684" t="s">
        <v>159</v>
      </c>
      <c r="N684">
        <v>4</v>
      </c>
      <c r="O684">
        <v>7399300</v>
      </c>
      <c r="P684">
        <v>0.25</v>
      </c>
      <c r="Q684">
        <v>22197900</v>
      </c>
      <c r="R684">
        <v>23963407.09</v>
      </c>
      <c r="S684">
        <v>-1765507.09</v>
      </c>
      <c r="T684" t="s">
        <v>40</v>
      </c>
      <c r="U684" t="str">
        <f t="shared" si="30"/>
        <v>2024-05</v>
      </c>
      <c r="V684">
        <f t="shared" si="31"/>
        <v>1</v>
      </c>
      <c r="W684" s="2">
        <f t="shared" si="32"/>
        <v>-7.9534869965176891E-2</v>
      </c>
    </row>
    <row r="685" spans="1:23">
      <c r="A685" t="s">
        <v>1388</v>
      </c>
      <c r="B685" s="1">
        <v>45981</v>
      </c>
      <c r="C685" s="1">
        <v>45987</v>
      </c>
      <c r="D685" t="s">
        <v>594</v>
      </c>
      <c r="E685" t="s">
        <v>752</v>
      </c>
      <c r="F685" t="s">
        <v>23</v>
      </c>
      <c r="G685" t="s">
        <v>169</v>
      </c>
      <c r="H685" t="s">
        <v>157</v>
      </c>
      <c r="I685" t="s">
        <v>57</v>
      </c>
      <c r="J685" t="s">
        <v>27</v>
      </c>
      <c r="K685" t="s">
        <v>100</v>
      </c>
      <c r="L685" t="s">
        <v>105</v>
      </c>
      <c r="M685" t="s">
        <v>106</v>
      </c>
      <c r="N685">
        <v>6</v>
      </c>
      <c r="O685">
        <v>80900</v>
      </c>
      <c r="P685">
        <v>0.15</v>
      </c>
      <c r="Q685">
        <v>412590</v>
      </c>
      <c r="R685">
        <v>293169.67</v>
      </c>
      <c r="S685">
        <v>119420.33</v>
      </c>
      <c r="T685" t="s">
        <v>73</v>
      </c>
      <c r="U685" t="str">
        <f t="shared" si="30"/>
        <v>2025-11</v>
      </c>
      <c r="V685">
        <f t="shared" si="31"/>
        <v>6</v>
      </c>
      <c r="W685" s="2">
        <f t="shared" si="32"/>
        <v>0.28944067960929737</v>
      </c>
    </row>
    <row r="686" spans="1:23">
      <c r="A686" t="s">
        <v>1389</v>
      </c>
      <c r="B686" s="1">
        <v>46008</v>
      </c>
      <c r="C686" s="1">
        <v>46014</v>
      </c>
      <c r="D686" t="s">
        <v>149</v>
      </c>
      <c r="E686" t="s">
        <v>267</v>
      </c>
      <c r="F686" t="s">
        <v>54</v>
      </c>
      <c r="G686" t="s">
        <v>64</v>
      </c>
      <c r="H686" t="s">
        <v>65</v>
      </c>
      <c r="I686" t="s">
        <v>57</v>
      </c>
      <c r="J686" t="s">
        <v>36</v>
      </c>
      <c r="K686" t="s">
        <v>37</v>
      </c>
      <c r="L686" t="s">
        <v>38</v>
      </c>
      <c r="M686" t="s">
        <v>39</v>
      </c>
      <c r="N686">
        <v>1</v>
      </c>
      <c r="O686">
        <v>961100</v>
      </c>
      <c r="P686">
        <v>0</v>
      </c>
      <c r="Q686">
        <v>961100</v>
      </c>
      <c r="R686">
        <v>650886.68999999994</v>
      </c>
      <c r="S686">
        <v>310213.31</v>
      </c>
      <c r="T686" t="s">
        <v>73</v>
      </c>
      <c r="U686" t="str">
        <f t="shared" si="30"/>
        <v>2025-12</v>
      </c>
      <c r="V686">
        <f t="shared" si="31"/>
        <v>6</v>
      </c>
      <c r="W686" s="2">
        <f t="shared" si="32"/>
        <v>0.32276902507543437</v>
      </c>
    </row>
    <row r="687" spans="1:23">
      <c r="A687" t="s">
        <v>1390</v>
      </c>
      <c r="B687" s="1">
        <v>45703</v>
      </c>
      <c r="C687" s="1">
        <v>45705</v>
      </c>
      <c r="D687" t="s">
        <v>459</v>
      </c>
      <c r="E687" t="s">
        <v>531</v>
      </c>
      <c r="F687" t="s">
        <v>54</v>
      </c>
      <c r="G687" t="s">
        <v>156</v>
      </c>
      <c r="H687" t="s">
        <v>157</v>
      </c>
      <c r="I687" t="s">
        <v>57</v>
      </c>
      <c r="J687" t="s">
        <v>36</v>
      </c>
      <c r="K687" t="s">
        <v>81</v>
      </c>
      <c r="L687" t="s">
        <v>215</v>
      </c>
      <c r="M687" t="s">
        <v>216</v>
      </c>
      <c r="N687">
        <v>5</v>
      </c>
      <c r="O687">
        <v>1902500</v>
      </c>
      <c r="P687">
        <v>0.2</v>
      </c>
      <c r="Q687">
        <v>7610000</v>
      </c>
      <c r="R687">
        <v>6201080.3600000003</v>
      </c>
      <c r="S687">
        <v>1408919.64</v>
      </c>
      <c r="T687" t="s">
        <v>73</v>
      </c>
      <c r="U687" t="str">
        <f t="shared" si="30"/>
        <v>2025-02</v>
      </c>
      <c r="V687">
        <f t="shared" si="31"/>
        <v>2</v>
      </c>
      <c r="W687" s="2">
        <f t="shared" si="32"/>
        <v>0.18514055716162942</v>
      </c>
    </row>
    <row r="688" spans="1:23">
      <c r="A688" t="s">
        <v>1391</v>
      </c>
      <c r="B688" s="1">
        <v>45363</v>
      </c>
      <c r="C688" s="1">
        <v>45364</v>
      </c>
      <c r="D688" t="s">
        <v>733</v>
      </c>
      <c r="E688" t="s">
        <v>478</v>
      </c>
      <c r="F688" t="s">
        <v>54</v>
      </c>
      <c r="G688" t="s">
        <v>24</v>
      </c>
      <c r="H688" t="s">
        <v>25</v>
      </c>
      <c r="I688" t="s">
        <v>26</v>
      </c>
      <c r="J688" t="s">
        <v>27</v>
      </c>
      <c r="K688" t="s">
        <v>116</v>
      </c>
      <c r="L688" t="s">
        <v>117</v>
      </c>
      <c r="M688" t="s">
        <v>118</v>
      </c>
      <c r="N688">
        <v>6</v>
      </c>
      <c r="O688">
        <v>29600</v>
      </c>
      <c r="P688">
        <v>0.2</v>
      </c>
      <c r="Q688">
        <v>142080</v>
      </c>
      <c r="R688">
        <v>83323.27</v>
      </c>
      <c r="S688">
        <v>58756.73</v>
      </c>
      <c r="T688" t="s">
        <v>31</v>
      </c>
      <c r="U688" t="str">
        <f t="shared" si="30"/>
        <v>2024-03</v>
      </c>
      <c r="V688">
        <f t="shared" si="31"/>
        <v>1</v>
      </c>
      <c r="W688" s="2">
        <f t="shared" si="32"/>
        <v>0.41354680461711713</v>
      </c>
    </row>
    <row r="689" spans="1:23">
      <c r="A689" t="s">
        <v>1392</v>
      </c>
      <c r="B689" s="1">
        <v>45599</v>
      </c>
      <c r="C689" s="1">
        <v>45602</v>
      </c>
      <c r="D689" t="s">
        <v>290</v>
      </c>
      <c r="E689" t="s">
        <v>270</v>
      </c>
      <c r="F689" t="s">
        <v>54</v>
      </c>
      <c r="G689" t="s">
        <v>156</v>
      </c>
      <c r="H689" t="s">
        <v>157</v>
      </c>
      <c r="I689" t="s">
        <v>57</v>
      </c>
      <c r="J689" t="s">
        <v>36</v>
      </c>
      <c r="K689" t="s">
        <v>81</v>
      </c>
      <c r="L689" t="s">
        <v>215</v>
      </c>
      <c r="M689" t="s">
        <v>216</v>
      </c>
      <c r="N689">
        <v>2</v>
      </c>
      <c r="O689">
        <v>1578400</v>
      </c>
      <c r="P689">
        <v>0.05</v>
      </c>
      <c r="Q689">
        <v>2998960</v>
      </c>
      <c r="R689">
        <v>2032819.19</v>
      </c>
      <c r="S689">
        <v>966140.81</v>
      </c>
      <c r="T689" t="s">
        <v>73</v>
      </c>
      <c r="U689" t="str">
        <f t="shared" si="30"/>
        <v>2024-11</v>
      </c>
      <c r="V689">
        <f t="shared" si="31"/>
        <v>3</v>
      </c>
      <c r="W689" s="2">
        <f t="shared" si="32"/>
        <v>0.322158618321018</v>
      </c>
    </row>
    <row r="690" spans="1:23">
      <c r="A690" t="s">
        <v>1393</v>
      </c>
      <c r="B690" s="1">
        <v>45925</v>
      </c>
      <c r="C690" s="1">
        <v>45926</v>
      </c>
      <c r="D690" t="s">
        <v>357</v>
      </c>
      <c r="E690" t="s">
        <v>1202</v>
      </c>
      <c r="F690" t="s">
        <v>23</v>
      </c>
      <c r="G690" t="s">
        <v>24</v>
      </c>
      <c r="H690" t="s">
        <v>25</v>
      </c>
      <c r="I690" t="s">
        <v>26</v>
      </c>
      <c r="J690" t="s">
        <v>47</v>
      </c>
      <c r="K690" t="s">
        <v>48</v>
      </c>
      <c r="L690" t="s">
        <v>66</v>
      </c>
      <c r="M690" t="s">
        <v>67</v>
      </c>
      <c r="N690">
        <v>1</v>
      </c>
      <c r="O690">
        <v>124300</v>
      </c>
      <c r="P690">
        <v>0</v>
      </c>
      <c r="Q690">
        <v>124300</v>
      </c>
      <c r="R690">
        <v>76095.27</v>
      </c>
      <c r="S690">
        <v>48204.73</v>
      </c>
      <c r="T690" t="s">
        <v>60</v>
      </c>
      <c r="U690" t="str">
        <f t="shared" si="30"/>
        <v>2025-09</v>
      </c>
      <c r="V690">
        <f t="shared" si="31"/>
        <v>1</v>
      </c>
      <c r="W690" s="2">
        <f t="shared" si="32"/>
        <v>0.38780957361222851</v>
      </c>
    </row>
    <row r="691" spans="1:23">
      <c r="A691" t="s">
        <v>1394</v>
      </c>
      <c r="B691" s="1">
        <v>45826</v>
      </c>
      <c r="C691" s="1">
        <v>45828</v>
      </c>
      <c r="D691" t="s">
        <v>1326</v>
      </c>
      <c r="E691" t="s">
        <v>500</v>
      </c>
      <c r="F691" t="s">
        <v>23</v>
      </c>
      <c r="G691" t="s">
        <v>140</v>
      </c>
      <c r="H691" t="s">
        <v>141</v>
      </c>
      <c r="I691" t="s">
        <v>46</v>
      </c>
      <c r="J691" t="s">
        <v>47</v>
      </c>
      <c r="K691" t="s">
        <v>48</v>
      </c>
      <c r="L691" t="s">
        <v>225</v>
      </c>
      <c r="M691" t="s">
        <v>226</v>
      </c>
      <c r="N691">
        <v>1</v>
      </c>
      <c r="O691">
        <v>221400</v>
      </c>
      <c r="P691">
        <v>0</v>
      </c>
      <c r="Q691">
        <v>221400</v>
      </c>
      <c r="R691">
        <v>133469.29999999999</v>
      </c>
      <c r="S691">
        <v>87930.7</v>
      </c>
      <c r="T691" t="s">
        <v>73</v>
      </c>
      <c r="U691" t="str">
        <f t="shared" si="30"/>
        <v>2025-06</v>
      </c>
      <c r="V691">
        <f t="shared" si="31"/>
        <v>2</v>
      </c>
      <c r="W691" s="2">
        <f t="shared" si="32"/>
        <v>0.39715763324299908</v>
      </c>
    </row>
    <row r="692" spans="1:23">
      <c r="A692" t="s">
        <v>1395</v>
      </c>
      <c r="B692" s="1">
        <v>45255</v>
      </c>
      <c r="C692" s="1">
        <v>45261</v>
      </c>
      <c r="D692" t="s">
        <v>429</v>
      </c>
      <c r="E692" t="s">
        <v>565</v>
      </c>
      <c r="F692" t="s">
        <v>23</v>
      </c>
      <c r="G692" t="s">
        <v>95</v>
      </c>
      <c r="H692" t="s">
        <v>96</v>
      </c>
      <c r="I692" t="s">
        <v>26</v>
      </c>
      <c r="J692" t="s">
        <v>47</v>
      </c>
      <c r="K692" t="s">
        <v>128</v>
      </c>
      <c r="L692" t="s">
        <v>129</v>
      </c>
      <c r="M692" t="s">
        <v>130</v>
      </c>
      <c r="N692">
        <v>3</v>
      </c>
      <c r="O692">
        <v>1560100</v>
      </c>
      <c r="P692">
        <v>0.15</v>
      </c>
      <c r="Q692">
        <v>3978255</v>
      </c>
      <c r="R692">
        <v>3343650.73</v>
      </c>
      <c r="S692">
        <v>634604.27</v>
      </c>
      <c r="T692" t="s">
        <v>40</v>
      </c>
      <c r="U692" t="str">
        <f t="shared" si="30"/>
        <v>2023-11</v>
      </c>
      <c r="V692">
        <f t="shared" si="31"/>
        <v>6</v>
      </c>
      <c r="W692" s="2">
        <f t="shared" si="32"/>
        <v>0.1595182485788367</v>
      </c>
    </row>
    <row r="693" spans="1:23">
      <c r="A693" t="s">
        <v>1396</v>
      </c>
      <c r="B693" s="1">
        <v>45723</v>
      </c>
      <c r="C693" s="1">
        <v>45725</v>
      </c>
      <c r="D693" t="s">
        <v>632</v>
      </c>
      <c r="E693" t="s">
        <v>375</v>
      </c>
      <c r="F693" t="s">
        <v>23</v>
      </c>
      <c r="G693" t="s">
        <v>140</v>
      </c>
      <c r="H693" t="s">
        <v>141</v>
      </c>
      <c r="I693" t="s">
        <v>46</v>
      </c>
      <c r="J693" t="s">
        <v>47</v>
      </c>
      <c r="K693" t="s">
        <v>142</v>
      </c>
      <c r="L693" t="s">
        <v>143</v>
      </c>
      <c r="M693" t="s">
        <v>144</v>
      </c>
      <c r="N693">
        <v>2</v>
      </c>
      <c r="O693">
        <v>6519800</v>
      </c>
      <c r="P693">
        <v>0</v>
      </c>
      <c r="Q693">
        <v>13039600</v>
      </c>
      <c r="R693">
        <v>10829965.1</v>
      </c>
      <c r="S693">
        <v>2209634.9</v>
      </c>
      <c r="T693" t="s">
        <v>60</v>
      </c>
      <c r="U693" t="str">
        <f t="shared" si="30"/>
        <v>2025-03</v>
      </c>
      <c r="V693">
        <f t="shared" si="31"/>
        <v>2</v>
      </c>
      <c r="W693" s="2">
        <f t="shared" si="32"/>
        <v>0.16945572716954507</v>
      </c>
    </row>
    <row r="694" spans="1:23">
      <c r="A694" t="s">
        <v>1397</v>
      </c>
      <c r="B694" s="1">
        <v>44943</v>
      </c>
      <c r="C694" s="1">
        <v>44947</v>
      </c>
      <c r="D694" t="s">
        <v>228</v>
      </c>
      <c r="E694" t="s">
        <v>1398</v>
      </c>
      <c r="F694" t="s">
        <v>23</v>
      </c>
      <c r="G694" t="s">
        <v>64</v>
      </c>
      <c r="H694" t="s">
        <v>65</v>
      </c>
      <c r="I694" t="s">
        <v>57</v>
      </c>
      <c r="J694" t="s">
        <v>36</v>
      </c>
      <c r="K694" t="s">
        <v>89</v>
      </c>
      <c r="L694" t="s">
        <v>151</v>
      </c>
      <c r="M694" t="s">
        <v>152</v>
      </c>
      <c r="N694">
        <v>1</v>
      </c>
      <c r="O694">
        <v>1166900</v>
      </c>
      <c r="P694">
        <v>0.05</v>
      </c>
      <c r="Q694">
        <v>1108555</v>
      </c>
      <c r="R694">
        <v>768086.9</v>
      </c>
      <c r="S694">
        <v>340468.1</v>
      </c>
      <c r="T694" t="s">
        <v>40</v>
      </c>
      <c r="U694" t="str">
        <f t="shared" si="30"/>
        <v>2023-01</v>
      </c>
      <c r="V694">
        <f t="shared" si="31"/>
        <v>4</v>
      </c>
      <c r="W694" s="2">
        <f t="shared" si="32"/>
        <v>0.30712783759037665</v>
      </c>
    </row>
    <row r="695" spans="1:23">
      <c r="A695" t="s">
        <v>1399</v>
      </c>
      <c r="B695" s="1">
        <v>45433</v>
      </c>
      <c r="C695" s="1">
        <v>45439</v>
      </c>
      <c r="D695" t="s">
        <v>413</v>
      </c>
      <c r="E695" t="s">
        <v>947</v>
      </c>
      <c r="F695" t="s">
        <v>35</v>
      </c>
      <c r="G695" t="s">
        <v>64</v>
      </c>
      <c r="H695" t="s">
        <v>65</v>
      </c>
      <c r="I695" t="s">
        <v>57</v>
      </c>
      <c r="J695" t="s">
        <v>27</v>
      </c>
      <c r="K695" t="s">
        <v>28</v>
      </c>
      <c r="L695" t="s">
        <v>29</v>
      </c>
      <c r="M695" t="s">
        <v>30</v>
      </c>
      <c r="N695">
        <v>3</v>
      </c>
      <c r="O695">
        <v>68700</v>
      </c>
      <c r="P695">
        <v>0</v>
      </c>
      <c r="Q695">
        <v>206100</v>
      </c>
      <c r="R695">
        <v>120089.76</v>
      </c>
      <c r="S695">
        <v>86010.240000000005</v>
      </c>
      <c r="T695" t="s">
        <v>31</v>
      </c>
      <c r="U695" t="str">
        <f t="shared" si="30"/>
        <v>2024-05</v>
      </c>
      <c r="V695">
        <f t="shared" si="31"/>
        <v>6</v>
      </c>
      <c r="W695" s="2">
        <f t="shared" si="32"/>
        <v>0.41732285298398836</v>
      </c>
    </row>
    <row r="696" spans="1:23">
      <c r="A696" t="s">
        <v>1400</v>
      </c>
      <c r="B696" s="1">
        <v>45197</v>
      </c>
      <c r="C696" s="1">
        <v>45201</v>
      </c>
      <c r="D696" t="s">
        <v>929</v>
      </c>
      <c r="E696" t="s">
        <v>658</v>
      </c>
      <c r="F696" t="s">
        <v>23</v>
      </c>
      <c r="G696" t="s">
        <v>80</v>
      </c>
      <c r="H696" t="s">
        <v>45</v>
      </c>
      <c r="I696" t="s">
        <v>46</v>
      </c>
      <c r="J696" t="s">
        <v>47</v>
      </c>
      <c r="K696" t="s">
        <v>173</v>
      </c>
      <c r="L696" t="s">
        <v>174</v>
      </c>
      <c r="M696" t="s">
        <v>175</v>
      </c>
      <c r="N696">
        <v>1</v>
      </c>
      <c r="O696">
        <v>4282700</v>
      </c>
      <c r="P696">
        <v>0.05</v>
      </c>
      <c r="Q696">
        <v>4068565</v>
      </c>
      <c r="R696">
        <v>3179384.32</v>
      </c>
      <c r="S696">
        <v>889180.68</v>
      </c>
      <c r="T696" t="s">
        <v>73</v>
      </c>
      <c r="U696" t="str">
        <f t="shared" si="30"/>
        <v>2023-09</v>
      </c>
      <c r="V696">
        <f t="shared" si="31"/>
        <v>4</v>
      </c>
      <c r="W696" s="2">
        <f t="shared" si="32"/>
        <v>0.21854896751065794</v>
      </c>
    </row>
    <row r="697" spans="1:23">
      <c r="A697" t="s">
        <v>1401</v>
      </c>
      <c r="B697" s="1">
        <v>45799</v>
      </c>
      <c r="C697" s="1">
        <v>45803</v>
      </c>
      <c r="D697" t="s">
        <v>758</v>
      </c>
      <c r="E697" t="s">
        <v>1402</v>
      </c>
      <c r="F697" t="s">
        <v>23</v>
      </c>
      <c r="G697" t="s">
        <v>140</v>
      </c>
      <c r="H697" t="s">
        <v>141</v>
      </c>
      <c r="I697" t="s">
        <v>46</v>
      </c>
      <c r="J697" t="s">
        <v>47</v>
      </c>
      <c r="K697" t="s">
        <v>48</v>
      </c>
      <c r="L697" t="s">
        <v>225</v>
      </c>
      <c r="M697" t="s">
        <v>226</v>
      </c>
      <c r="N697">
        <v>2</v>
      </c>
      <c r="O697">
        <v>254700</v>
      </c>
      <c r="P697">
        <v>0.15</v>
      </c>
      <c r="Q697">
        <v>432990</v>
      </c>
      <c r="R697">
        <v>300170.84999999998</v>
      </c>
      <c r="S697">
        <v>132819.15</v>
      </c>
      <c r="T697" t="s">
        <v>60</v>
      </c>
      <c r="U697" t="str">
        <f t="shared" si="30"/>
        <v>2025-05</v>
      </c>
      <c r="V697">
        <f t="shared" si="31"/>
        <v>4</v>
      </c>
      <c r="W697" s="2">
        <f t="shared" si="32"/>
        <v>0.30674877017944985</v>
      </c>
    </row>
    <row r="698" spans="1:23">
      <c r="A698" t="s">
        <v>1403</v>
      </c>
      <c r="B698" s="1">
        <v>44928</v>
      </c>
      <c r="C698" s="1">
        <v>44929</v>
      </c>
      <c r="D698" t="s">
        <v>1404</v>
      </c>
      <c r="E698" t="s">
        <v>507</v>
      </c>
      <c r="F698" t="s">
        <v>23</v>
      </c>
      <c r="G698" t="s">
        <v>24</v>
      </c>
      <c r="H698" t="s">
        <v>25</v>
      </c>
      <c r="I698" t="s">
        <v>26</v>
      </c>
      <c r="J698" t="s">
        <v>27</v>
      </c>
      <c r="K698" t="s">
        <v>179</v>
      </c>
      <c r="L698" t="s">
        <v>180</v>
      </c>
      <c r="M698" t="s">
        <v>181</v>
      </c>
      <c r="N698">
        <v>6</v>
      </c>
      <c r="O698">
        <v>51600</v>
      </c>
      <c r="P698">
        <v>0</v>
      </c>
      <c r="Q698">
        <v>309600</v>
      </c>
      <c r="R698">
        <v>176112.81</v>
      </c>
      <c r="S698">
        <v>133487.19</v>
      </c>
      <c r="T698" t="s">
        <v>60</v>
      </c>
      <c r="U698" t="str">
        <f t="shared" si="30"/>
        <v>2023-01</v>
      </c>
      <c r="V698">
        <f t="shared" si="31"/>
        <v>1</v>
      </c>
      <c r="W698" s="2">
        <f t="shared" si="32"/>
        <v>0.43116017441860466</v>
      </c>
    </row>
    <row r="699" spans="1:23">
      <c r="A699" t="s">
        <v>1405</v>
      </c>
      <c r="B699" s="1">
        <v>45155</v>
      </c>
      <c r="C699" s="1">
        <v>45156</v>
      </c>
      <c r="D699" t="s">
        <v>1406</v>
      </c>
      <c r="E699" t="s">
        <v>514</v>
      </c>
      <c r="F699" t="s">
        <v>23</v>
      </c>
      <c r="G699" t="s">
        <v>156</v>
      </c>
      <c r="H699" t="s">
        <v>157</v>
      </c>
      <c r="I699" t="s">
        <v>57</v>
      </c>
      <c r="J699" t="s">
        <v>27</v>
      </c>
      <c r="K699" t="s">
        <v>28</v>
      </c>
      <c r="L699" t="s">
        <v>71</v>
      </c>
      <c r="M699" t="s">
        <v>72</v>
      </c>
      <c r="N699">
        <v>4</v>
      </c>
      <c r="O699">
        <v>46300</v>
      </c>
      <c r="P699">
        <v>0.1</v>
      </c>
      <c r="Q699">
        <v>166680</v>
      </c>
      <c r="R699">
        <v>94471.6</v>
      </c>
      <c r="S699">
        <v>72208.399999999994</v>
      </c>
      <c r="T699" t="s">
        <v>60</v>
      </c>
      <c r="U699" t="str">
        <f t="shared" si="30"/>
        <v>2023-08</v>
      </c>
      <c r="V699">
        <f t="shared" si="31"/>
        <v>1</v>
      </c>
      <c r="W699" s="2">
        <f t="shared" si="32"/>
        <v>0.43321574274058072</v>
      </c>
    </row>
    <row r="700" spans="1:23">
      <c r="A700" t="s">
        <v>1407</v>
      </c>
      <c r="B700" s="1">
        <v>45713</v>
      </c>
      <c r="C700" s="1">
        <v>45714</v>
      </c>
      <c r="D700" t="s">
        <v>632</v>
      </c>
      <c r="E700" t="s">
        <v>1408</v>
      </c>
      <c r="F700" t="s">
        <v>23</v>
      </c>
      <c r="G700" t="s">
        <v>55</v>
      </c>
      <c r="H700" t="s">
        <v>56</v>
      </c>
      <c r="I700" t="s">
        <v>57</v>
      </c>
      <c r="J700" t="s">
        <v>27</v>
      </c>
      <c r="K700" t="s">
        <v>28</v>
      </c>
      <c r="L700" t="s">
        <v>71</v>
      </c>
      <c r="M700" t="s">
        <v>72</v>
      </c>
      <c r="N700">
        <v>1</v>
      </c>
      <c r="O700">
        <v>44900</v>
      </c>
      <c r="P700">
        <v>0</v>
      </c>
      <c r="Q700">
        <v>44900</v>
      </c>
      <c r="R700">
        <v>25039.24</v>
      </c>
      <c r="S700">
        <v>19860.759999999998</v>
      </c>
      <c r="T700" t="s">
        <v>73</v>
      </c>
      <c r="U700" t="str">
        <f t="shared" si="30"/>
        <v>2025-02</v>
      </c>
      <c r="V700">
        <f t="shared" si="31"/>
        <v>1</v>
      </c>
      <c r="W700" s="2">
        <f t="shared" si="32"/>
        <v>0.44233318485523382</v>
      </c>
    </row>
    <row r="701" spans="1:23">
      <c r="A701" t="s">
        <v>1409</v>
      </c>
      <c r="B701" s="1">
        <v>45898</v>
      </c>
      <c r="C701" s="1">
        <v>45905</v>
      </c>
      <c r="D701" t="s">
        <v>916</v>
      </c>
      <c r="E701" t="s">
        <v>162</v>
      </c>
      <c r="F701" t="s">
        <v>23</v>
      </c>
      <c r="G701" t="s">
        <v>140</v>
      </c>
      <c r="H701" t="s">
        <v>141</v>
      </c>
      <c r="I701" t="s">
        <v>46</v>
      </c>
      <c r="J701" t="s">
        <v>47</v>
      </c>
      <c r="K701" t="s">
        <v>173</v>
      </c>
      <c r="L701" t="s">
        <v>203</v>
      </c>
      <c r="M701" t="s">
        <v>204</v>
      </c>
      <c r="N701">
        <v>3</v>
      </c>
      <c r="O701">
        <v>3057800</v>
      </c>
      <c r="P701">
        <v>0.2</v>
      </c>
      <c r="Q701">
        <v>7338720</v>
      </c>
      <c r="R701">
        <v>7396693.1699999999</v>
      </c>
      <c r="S701">
        <v>-57973.17</v>
      </c>
      <c r="T701" t="s">
        <v>40</v>
      </c>
      <c r="U701" t="str">
        <f t="shared" si="30"/>
        <v>2025-08</v>
      </c>
      <c r="V701">
        <f t="shared" si="31"/>
        <v>7</v>
      </c>
      <c r="W701" s="2">
        <f t="shared" si="32"/>
        <v>-7.899629635685787E-3</v>
      </c>
    </row>
    <row r="702" spans="1:23">
      <c r="A702" t="s">
        <v>1410</v>
      </c>
      <c r="B702" s="1">
        <v>45845</v>
      </c>
      <c r="C702" s="1">
        <v>45851</v>
      </c>
      <c r="D702" t="s">
        <v>126</v>
      </c>
      <c r="E702" t="s">
        <v>687</v>
      </c>
      <c r="F702" t="s">
        <v>23</v>
      </c>
      <c r="G702" t="s">
        <v>44</v>
      </c>
      <c r="H702" t="s">
        <v>45</v>
      </c>
      <c r="I702" t="s">
        <v>46</v>
      </c>
      <c r="J702" t="s">
        <v>27</v>
      </c>
      <c r="K702" t="s">
        <v>116</v>
      </c>
      <c r="L702" t="s">
        <v>117</v>
      </c>
      <c r="M702" t="s">
        <v>118</v>
      </c>
      <c r="N702">
        <v>1</v>
      </c>
      <c r="O702">
        <v>25900</v>
      </c>
      <c r="P702">
        <v>0.25</v>
      </c>
      <c r="Q702">
        <v>19425</v>
      </c>
      <c r="R702">
        <v>12534.33</v>
      </c>
      <c r="S702">
        <v>6890.67</v>
      </c>
      <c r="T702" t="s">
        <v>31</v>
      </c>
      <c r="U702" t="str">
        <f t="shared" si="30"/>
        <v>2025-07</v>
      </c>
      <c r="V702">
        <f t="shared" si="31"/>
        <v>6</v>
      </c>
      <c r="W702" s="2">
        <f t="shared" si="32"/>
        <v>0.35473204633204636</v>
      </c>
    </row>
    <row r="703" spans="1:23">
      <c r="A703" t="s">
        <v>1411</v>
      </c>
      <c r="B703" s="1">
        <v>45316</v>
      </c>
      <c r="C703" s="1">
        <v>45322</v>
      </c>
      <c r="D703" t="s">
        <v>281</v>
      </c>
      <c r="E703" t="s">
        <v>400</v>
      </c>
      <c r="F703" t="s">
        <v>54</v>
      </c>
      <c r="G703" t="s">
        <v>87</v>
      </c>
      <c r="H703" t="s">
        <v>88</v>
      </c>
      <c r="I703" t="s">
        <v>46</v>
      </c>
      <c r="J703" t="s">
        <v>27</v>
      </c>
      <c r="K703" t="s">
        <v>116</v>
      </c>
      <c r="L703" t="s">
        <v>207</v>
      </c>
      <c r="M703" t="s">
        <v>208</v>
      </c>
      <c r="N703">
        <v>1</v>
      </c>
      <c r="O703">
        <v>122500</v>
      </c>
      <c r="P703">
        <v>0.05</v>
      </c>
      <c r="Q703">
        <v>116375</v>
      </c>
      <c r="R703">
        <v>73408.31</v>
      </c>
      <c r="S703">
        <v>42966.69</v>
      </c>
      <c r="T703" t="s">
        <v>31</v>
      </c>
      <c r="U703" t="str">
        <f t="shared" si="30"/>
        <v>2024-01</v>
      </c>
      <c r="V703">
        <f t="shared" si="31"/>
        <v>6</v>
      </c>
      <c r="W703" s="2">
        <f t="shared" si="32"/>
        <v>0.36920893662728249</v>
      </c>
    </row>
    <row r="704" spans="1:23">
      <c r="A704" t="s">
        <v>1412</v>
      </c>
      <c r="B704" s="1">
        <v>45350</v>
      </c>
      <c r="C704" s="1">
        <v>45352</v>
      </c>
      <c r="D704" t="s">
        <v>737</v>
      </c>
      <c r="E704" t="s">
        <v>1413</v>
      </c>
      <c r="F704" t="s">
        <v>35</v>
      </c>
      <c r="G704" t="s">
        <v>55</v>
      </c>
      <c r="H704" t="s">
        <v>56</v>
      </c>
      <c r="I704" t="s">
        <v>57</v>
      </c>
      <c r="J704" t="s">
        <v>47</v>
      </c>
      <c r="K704" t="s">
        <v>173</v>
      </c>
      <c r="L704" t="s">
        <v>174</v>
      </c>
      <c r="M704" t="s">
        <v>175</v>
      </c>
      <c r="N704">
        <v>2</v>
      </c>
      <c r="O704">
        <v>4975100</v>
      </c>
      <c r="P704">
        <v>0</v>
      </c>
      <c r="Q704">
        <v>9950200</v>
      </c>
      <c r="R704">
        <v>7916541.5099999998</v>
      </c>
      <c r="S704">
        <v>2033658.49</v>
      </c>
      <c r="T704" t="s">
        <v>40</v>
      </c>
      <c r="U704" t="str">
        <f t="shared" si="30"/>
        <v>2024-02</v>
      </c>
      <c r="V704">
        <f t="shared" si="31"/>
        <v>2</v>
      </c>
      <c r="W704" s="2">
        <f t="shared" si="32"/>
        <v>0.20438367972503066</v>
      </c>
    </row>
    <row r="705" spans="1:23">
      <c r="A705" t="s">
        <v>1414</v>
      </c>
      <c r="B705" s="1">
        <v>45170</v>
      </c>
      <c r="C705" s="1">
        <v>45172</v>
      </c>
      <c r="D705" t="s">
        <v>149</v>
      </c>
      <c r="E705" t="s">
        <v>492</v>
      </c>
      <c r="F705" t="s">
        <v>23</v>
      </c>
      <c r="G705" t="s">
        <v>95</v>
      </c>
      <c r="H705" t="s">
        <v>96</v>
      </c>
      <c r="I705" t="s">
        <v>26</v>
      </c>
      <c r="J705" t="s">
        <v>47</v>
      </c>
      <c r="K705" t="s">
        <v>173</v>
      </c>
      <c r="L705" t="s">
        <v>174</v>
      </c>
      <c r="M705" t="s">
        <v>175</v>
      </c>
      <c r="N705">
        <v>8</v>
      </c>
      <c r="O705">
        <v>4517200</v>
      </c>
      <c r="P705">
        <v>0</v>
      </c>
      <c r="Q705">
        <v>36137600</v>
      </c>
      <c r="R705">
        <v>28825331.079999998</v>
      </c>
      <c r="S705">
        <v>7312268.9199999999</v>
      </c>
      <c r="T705" t="s">
        <v>73</v>
      </c>
      <c r="U705" t="str">
        <f t="shared" si="30"/>
        <v>2023-09</v>
      </c>
      <c r="V705">
        <f t="shared" si="31"/>
        <v>2</v>
      </c>
      <c r="W705" s="2">
        <f t="shared" si="32"/>
        <v>0.20234517289471354</v>
      </c>
    </row>
    <row r="706" spans="1:23">
      <c r="A706" t="s">
        <v>1415</v>
      </c>
      <c r="B706" s="1">
        <v>45357</v>
      </c>
      <c r="C706" s="1">
        <v>45362</v>
      </c>
      <c r="D706" t="s">
        <v>786</v>
      </c>
      <c r="E706" t="s">
        <v>874</v>
      </c>
      <c r="F706" t="s">
        <v>54</v>
      </c>
      <c r="G706" t="s">
        <v>55</v>
      </c>
      <c r="H706" t="s">
        <v>56</v>
      </c>
      <c r="I706" t="s">
        <v>57</v>
      </c>
      <c r="J706" t="s">
        <v>47</v>
      </c>
      <c r="K706" t="s">
        <v>48</v>
      </c>
      <c r="L706" t="s">
        <v>49</v>
      </c>
      <c r="M706" t="s">
        <v>50</v>
      </c>
      <c r="N706">
        <v>1</v>
      </c>
      <c r="O706">
        <v>511800</v>
      </c>
      <c r="P706">
        <v>0.1</v>
      </c>
      <c r="Q706">
        <v>460620</v>
      </c>
      <c r="R706">
        <v>331236.76</v>
      </c>
      <c r="S706">
        <v>129383.24</v>
      </c>
      <c r="T706" t="s">
        <v>60</v>
      </c>
      <c r="U706" t="str">
        <f t="shared" si="30"/>
        <v>2024-03</v>
      </c>
      <c r="V706">
        <f t="shared" si="31"/>
        <v>5</v>
      </c>
      <c r="W706" s="2">
        <f t="shared" si="32"/>
        <v>0.28088932308627501</v>
      </c>
    </row>
    <row r="707" spans="1:23">
      <c r="A707" t="s">
        <v>1416</v>
      </c>
      <c r="B707" s="1">
        <v>45530</v>
      </c>
      <c r="C707" s="1">
        <v>45533</v>
      </c>
      <c r="D707" t="s">
        <v>857</v>
      </c>
      <c r="E707" t="s">
        <v>630</v>
      </c>
      <c r="F707" t="s">
        <v>23</v>
      </c>
      <c r="G707" t="s">
        <v>156</v>
      </c>
      <c r="H707" t="s">
        <v>157</v>
      </c>
      <c r="I707" t="s">
        <v>57</v>
      </c>
      <c r="J707" t="s">
        <v>27</v>
      </c>
      <c r="K707" t="s">
        <v>100</v>
      </c>
      <c r="L707" t="s">
        <v>101</v>
      </c>
      <c r="M707" t="s">
        <v>102</v>
      </c>
      <c r="N707">
        <v>1</v>
      </c>
      <c r="O707">
        <v>64600</v>
      </c>
      <c r="P707">
        <v>0.1</v>
      </c>
      <c r="Q707">
        <v>58140</v>
      </c>
      <c r="R707">
        <v>38274.31</v>
      </c>
      <c r="S707">
        <v>19865.689999999999</v>
      </c>
      <c r="T707" t="s">
        <v>60</v>
      </c>
      <c r="U707" t="str">
        <f t="shared" ref="U707:U770" si="33">TEXT(B707,"yyyy-mm")</f>
        <v>2024-08</v>
      </c>
      <c r="V707">
        <f t="shared" ref="V707:V770" si="34">C707-B707</f>
        <v>3</v>
      </c>
      <c r="W707" s="2">
        <f t="shared" ref="W707:W770" si="35">IF(Q707=0,0,S707/Q707)</f>
        <v>0.34168713450292393</v>
      </c>
    </row>
    <row r="708" spans="1:23">
      <c r="A708" t="s">
        <v>1417</v>
      </c>
      <c r="B708" s="1">
        <v>45709</v>
      </c>
      <c r="C708" s="1">
        <v>45715</v>
      </c>
      <c r="D708" t="s">
        <v>812</v>
      </c>
      <c r="E708" t="s">
        <v>752</v>
      </c>
      <c r="F708" t="s">
        <v>23</v>
      </c>
      <c r="G708" t="s">
        <v>64</v>
      </c>
      <c r="H708" t="s">
        <v>65</v>
      </c>
      <c r="I708" t="s">
        <v>57</v>
      </c>
      <c r="J708" t="s">
        <v>47</v>
      </c>
      <c r="K708" t="s">
        <v>173</v>
      </c>
      <c r="L708" t="s">
        <v>174</v>
      </c>
      <c r="M708" t="s">
        <v>175</v>
      </c>
      <c r="N708">
        <v>1</v>
      </c>
      <c r="O708">
        <v>4881200</v>
      </c>
      <c r="P708">
        <v>0.2</v>
      </c>
      <c r="Q708">
        <v>3904960</v>
      </c>
      <c r="R708">
        <v>3666062.76</v>
      </c>
      <c r="S708">
        <v>238897.24</v>
      </c>
      <c r="T708" t="s">
        <v>60</v>
      </c>
      <c r="U708" t="str">
        <f t="shared" si="33"/>
        <v>2025-02</v>
      </c>
      <c r="V708">
        <f t="shared" si="34"/>
        <v>6</v>
      </c>
      <c r="W708" s="2">
        <f t="shared" si="35"/>
        <v>6.1177896828648694E-2</v>
      </c>
    </row>
    <row r="709" spans="1:23">
      <c r="A709" t="s">
        <v>1418</v>
      </c>
      <c r="B709" s="1">
        <v>45815</v>
      </c>
      <c r="C709" s="1">
        <v>45818</v>
      </c>
      <c r="D709" t="s">
        <v>393</v>
      </c>
      <c r="E709" t="s">
        <v>489</v>
      </c>
      <c r="F709" t="s">
        <v>23</v>
      </c>
      <c r="G709" t="s">
        <v>44</v>
      </c>
      <c r="H709" t="s">
        <v>45</v>
      </c>
      <c r="I709" t="s">
        <v>46</v>
      </c>
      <c r="J709" t="s">
        <v>47</v>
      </c>
      <c r="K709" t="s">
        <v>128</v>
      </c>
      <c r="L709" t="s">
        <v>129</v>
      </c>
      <c r="M709" t="s">
        <v>130</v>
      </c>
      <c r="N709">
        <v>1</v>
      </c>
      <c r="O709">
        <v>1580100</v>
      </c>
      <c r="P709">
        <v>0</v>
      </c>
      <c r="Q709">
        <v>1580100</v>
      </c>
      <c r="R709">
        <v>1153334.77</v>
      </c>
      <c r="S709">
        <v>426765.23</v>
      </c>
      <c r="T709" t="s">
        <v>40</v>
      </c>
      <c r="U709" t="str">
        <f t="shared" si="33"/>
        <v>2025-06</v>
      </c>
      <c r="V709">
        <f t="shared" si="34"/>
        <v>3</v>
      </c>
      <c r="W709" s="2">
        <f t="shared" si="35"/>
        <v>0.27008748180494901</v>
      </c>
    </row>
    <row r="710" spans="1:23">
      <c r="A710" t="s">
        <v>1419</v>
      </c>
      <c r="B710" s="1">
        <v>44970</v>
      </c>
      <c r="C710" s="1">
        <v>44973</v>
      </c>
      <c r="D710" t="s">
        <v>132</v>
      </c>
      <c r="E710" t="s">
        <v>952</v>
      </c>
      <c r="F710" t="s">
        <v>35</v>
      </c>
      <c r="G710" t="s">
        <v>169</v>
      </c>
      <c r="H710" t="s">
        <v>157</v>
      </c>
      <c r="I710" t="s">
        <v>57</v>
      </c>
      <c r="J710" t="s">
        <v>47</v>
      </c>
      <c r="K710" t="s">
        <v>173</v>
      </c>
      <c r="L710" t="s">
        <v>203</v>
      </c>
      <c r="M710" t="s">
        <v>204</v>
      </c>
      <c r="N710">
        <v>1</v>
      </c>
      <c r="O710">
        <v>2930700</v>
      </c>
      <c r="P710">
        <v>0</v>
      </c>
      <c r="Q710">
        <v>2930700</v>
      </c>
      <c r="R710">
        <v>2379207.17</v>
      </c>
      <c r="S710">
        <v>551492.82999999996</v>
      </c>
      <c r="T710" t="s">
        <v>73</v>
      </c>
      <c r="U710" t="str">
        <f t="shared" si="33"/>
        <v>2023-02</v>
      </c>
      <c r="V710">
        <f t="shared" si="34"/>
        <v>3</v>
      </c>
      <c r="W710" s="2">
        <f t="shared" si="35"/>
        <v>0.18817785170778312</v>
      </c>
    </row>
    <row r="711" spans="1:23">
      <c r="A711" t="s">
        <v>1420</v>
      </c>
      <c r="B711" s="1">
        <v>46005</v>
      </c>
      <c r="C711" s="1">
        <v>46007</v>
      </c>
      <c r="D711" t="s">
        <v>956</v>
      </c>
      <c r="E711" t="s">
        <v>746</v>
      </c>
      <c r="F711" t="s">
        <v>23</v>
      </c>
      <c r="G711" t="s">
        <v>55</v>
      </c>
      <c r="H711" t="s">
        <v>56</v>
      </c>
      <c r="I711" t="s">
        <v>57</v>
      </c>
      <c r="J711" t="s">
        <v>27</v>
      </c>
      <c r="K711" t="s">
        <v>100</v>
      </c>
      <c r="L711" t="s">
        <v>101</v>
      </c>
      <c r="M711" t="s">
        <v>102</v>
      </c>
      <c r="N711">
        <v>1</v>
      </c>
      <c r="O711">
        <v>62700</v>
      </c>
      <c r="P711">
        <v>0.15</v>
      </c>
      <c r="Q711">
        <v>53295</v>
      </c>
      <c r="R711">
        <v>35650</v>
      </c>
      <c r="S711">
        <v>17645</v>
      </c>
      <c r="T711" t="s">
        <v>40</v>
      </c>
      <c r="U711" t="str">
        <f t="shared" si="33"/>
        <v>2025-12</v>
      </c>
      <c r="V711">
        <f t="shared" si="34"/>
        <v>2</v>
      </c>
      <c r="W711" s="2">
        <f t="shared" si="35"/>
        <v>0.33108171498264377</v>
      </c>
    </row>
    <row r="712" spans="1:23">
      <c r="A712" t="s">
        <v>1421</v>
      </c>
      <c r="B712" s="1">
        <v>45098</v>
      </c>
      <c r="C712" s="1">
        <v>45101</v>
      </c>
      <c r="D712" t="s">
        <v>1020</v>
      </c>
      <c r="E712" t="s">
        <v>989</v>
      </c>
      <c r="F712" t="s">
        <v>54</v>
      </c>
      <c r="G712" t="s">
        <v>140</v>
      </c>
      <c r="H712" t="s">
        <v>141</v>
      </c>
      <c r="I712" t="s">
        <v>46</v>
      </c>
      <c r="J712" t="s">
        <v>47</v>
      </c>
      <c r="K712" t="s">
        <v>142</v>
      </c>
      <c r="L712" t="s">
        <v>158</v>
      </c>
      <c r="M712" t="s">
        <v>159</v>
      </c>
      <c r="N712">
        <v>2</v>
      </c>
      <c r="O712">
        <v>8856100</v>
      </c>
      <c r="P712">
        <v>0.2</v>
      </c>
      <c r="Q712">
        <v>14169760</v>
      </c>
      <c r="R712">
        <v>13277339.140000001</v>
      </c>
      <c r="S712">
        <v>892420.86</v>
      </c>
      <c r="T712" t="s">
        <v>31</v>
      </c>
      <c r="U712" t="str">
        <f t="shared" si="33"/>
        <v>2023-06</v>
      </c>
      <c r="V712">
        <f t="shared" si="34"/>
        <v>3</v>
      </c>
      <c r="W712" s="2">
        <f t="shared" si="35"/>
        <v>6.2980661634353716E-2</v>
      </c>
    </row>
    <row r="713" spans="1:23">
      <c r="A713" t="s">
        <v>1422</v>
      </c>
      <c r="B713" s="1">
        <v>45836</v>
      </c>
      <c r="C713" s="1">
        <v>45843</v>
      </c>
      <c r="D713" t="s">
        <v>956</v>
      </c>
      <c r="E713" t="s">
        <v>1005</v>
      </c>
      <c r="F713" t="s">
        <v>23</v>
      </c>
      <c r="G713" t="s">
        <v>64</v>
      </c>
      <c r="H713" t="s">
        <v>65</v>
      </c>
      <c r="I713" t="s">
        <v>57</v>
      </c>
      <c r="J713" t="s">
        <v>47</v>
      </c>
      <c r="K713" t="s">
        <v>48</v>
      </c>
      <c r="L713" t="s">
        <v>49</v>
      </c>
      <c r="M713" t="s">
        <v>50</v>
      </c>
      <c r="N713">
        <v>2</v>
      </c>
      <c r="O713">
        <v>465000</v>
      </c>
      <c r="P713">
        <v>0.1</v>
      </c>
      <c r="Q713">
        <v>837000</v>
      </c>
      <c r="R713">
        <v>549359.69999999995</v>
      </c>
      <c r="S713">
        <v>287640.3</v>
      </c>
      <c r="T713" t="s">
        <v>31</v>
      </c>
      <c r="U713" t="str">
        <f t="shared" si="33"/>
        <v>2025-06</v>
      </c>
      <c r="V713">
        <f t="shared" si="34"/>
        <v>7</v>
      </c>
      <c r="W713" s="2">
        <f t="shared" si="35"/>
        <v>0.3436562724014337</v>
      </c>
    </row>
    <row r="714" spans="1:23">
      <c r="A714" t="s">
        <v>1423</v>
      </c>
      <c r="B714" s="1">
        <v>45534</v>
      </c>
      <c r="C714" s="1">
        <v>45535</v>
      </c>
      <c r="D714" t="s">
        <v>491</v>
      </c>
      <c r="E714" t="s">
        <v>498</v>
      </c>
      <c r="F714" t="s">
        <v>23</v>
      </c>
      <c r="G714" t="s">
        <v>80</v>
      </c>
      <c r="H714" t="s">
        <v>45</v>
      </c>
      <c r="I714" t="s">
        <v>46</v>
      </c>
      <c r="J714" t="s">
        <v>36</v>
      </c>
      <c r="K714" t="s">
        <v>89</v>
      </c>
      <c r="L714" t="s">
        <v>90</v>
      </c>
      <c r="M714" t="s">
        <v>91</v>
      </c>
      <c r="N714">
        <v>1</v>
      </c>
      <c r="O714">
        <v>3131000</v>
      </c>
      <c r="P714">
        <v>0</v>
      </c>
      <c r="Q714">
        <v>3131000</v>
      </c>
      <c r="R714">
        <v>2268842.14</v>
      </c>
      <c r="S714">
        <v>862157.86</v>
      </c>
      <c r="T714" t="s">
        <v>73</v>
      </c>
      <c r="U714" t="str">
        <f t="shared" si="33"/>
        <v>2024-08</v>
      </c>
      <c r="V714">
        <f t="shared" si="34"/>
        <v>1</v>
      </c>
      <c r="W714" s="2">
        <f t="shared" si="35"/>
        <v>0.27536182050463109</v>
      </c>
    </row>
    <row r="715" spans="1:23">
      <c r="A715" t="s">
        <v>1424</v>
      </c>
      <c r="B715" s="1">
        <v>45714</v>
      </c>
      <c r="C715" s="1">
        <v>45720</v>
      </c>
      <c r="D715" t="s">
        <v>1170</v>
      </c>
      <c r="E715" t="s">
        <v>1013</v>
      </c>
      <c r="F715" t="s">
        <v>23</v>
      </c>
      <c r="G715" t="s">
        <v>64</v>
      </c>
      <c r="H715" t="s">
        <v>65</v>
      </c>
      <c r="I715" t="s">
        <v>57</v>
      </c>
      <c r="J715" t="s">
        <v>27</v>
      </c>
      <c r="K715" t="s">
        <v>100</v>
      </c>
      <c r="L715" t="s">
        <v>105</v>
      </c>
      <c r="M715" t="s">
        <v>106</v>
      </c>
      <c r="N715">
        <v>1</v>
      </c>
      <c r="O715">
        <v>84400</v>
      </c>
      <c r="P715">
        <v>0</v>
      </c>
      <c r="Q715">
        <v>84400</v>
      </c>
      <c r="R715">
        <v>46989.89</v>
      </c>
      <c r="S715">
        <v>37410.11</v>
      </c>
      <c r="T715" t="s">
        <v>31</v>
      </c>
      <c r="U715" t="str">
        <f t="shared" si="33"/>
        <v>2025-02</v>
      </c>
      <c r="V715">
        <f t="shared" si="34"/>
        <v>6</v>
      </c>
      <c r="W715" s="2">
        <f t="shared" si="35"/>
        <v>0.44324774881516588</v>
      </c>
    </row>
    <row r="716" spans="1:23">
      <c r="A716" t="s">
        <v>1425</v>
      </c>
      <c r="B716" s="1">
        <v>45100</v>
      </c>
      <c r="C716" s="1">
        <v>45101</v>
      </c>
      <c r="D716" t="s">
        <v>1226</v>
      </c>
      <c r="E716" t="s">
        <v>1293</v>
      </c>
      <c r="F716" t="s">
        <v>35</v>
      </c>
      <c r="G716" t="s">
        <v>169</v>
      </c>
      <c r="H716" t="s">
        <v>157</v>
      </c>
      <c r="I716" t="s">
        <v>57</v>
      </c>
      <c r="J716" t="s">
        <v>36</v>
      </c>
      <c r="K716" t="s">
        <v>81</v>
      </c>
      <c r="L716" t="s">
        <v>82</v>
      </c>
      <c r="M716" t="s">
        <v>83</v>
      </c>
      <c r="N716">
        <v>3</v>
      </c>
      <c r="O716">
        <v>606500</v>
      </c>
      <c r="P716">
        <v>0.1</v>
      </c>
      <c r="Q716">
        <v>1637550</v>
      </c>
      <c r="R716">
        <v>1151907.45</v>
      </c>
      <c r="S716">
        <v>485642.55</v>
      </c>
      <c r="T716" t="s">
        <v>73</v>
      </c>
      <c r="U716" t="str">
        <f t="shared" si="33"/>
        <v>2023-06</v>
      </c>
      <c r="V716">
        <f t="shared" si="34"/>
        <v>1</v>
      </c>
      <c r="W716" s="2">
        <f t="shared" si="35"/>
        <v>0.29656654758633322</v>
      </c>
    </row>
    <row r="717" spans="1:23">
      <c r="A717" t="s">
        <v>1426</v>
      </c>
      <c r="B717" s="1">
        <v>45139</v>
      </c>
      <c r="C717" s="1">
        <v>45142</v>
      </c>
      <c r="D717" t="s">
        <v>1427</v>
      </c>
      <c r="E717" t="s">
        <v>502</v>
      </c>
      <c r="F717" t="s">
        <v>35</v>
      </c>
      <c r="G717" t="s">
        <v>95</v>
      </c>
      <c r="H717" t="s">
        <v>96</v>
      </c>
      <c r="I717" t="s">
        <v>26</v>
      </c>
      <c r="J717" t="s">
        <v>27</v>
      </c>
      <c r="K717" t="s">
        <v>179</v>
      </c>
      <c r="L717" t="s">
        <v>180</v>
      </c>
      <c r="M717" t="s">
        <v>181</v>
      </c>
      <c r="N717">
        <v>4</v>
      </c>
      <c r="O717">
        <v>61000</v>
      </c>
      <c r="P717">
        <v>0.3</v>
      </c>
      <c r="Q717">
        <v>170800</v>
      </c>
      <c r="R717">
        <v>135929.79</v>
      </c>
      <c r="S717">
        <v>34870.21</v>
      </c>
      <c r="T717" t="s">
        <v>31</v>
      </c>
      <c r="U717" t="str">
        <f t="shared" si="33"/>
        <v>2023-08</v>
      </c>
      <c r="V717">
        <f t="shared" si="34"/>
        <v>3</v>
      </c>
      <c r="W717" s="2">
        <f t="shared" si="35"/>
        <v>0.20415813817330211</v>
      </c>
    </row>
    <row r="718" spans="1:23">
      <c r="A718" t="s">
        <v>1428</v>
      </c>
      <c r="B718" s="1">
        <v>45726</v>
      </c>
      <c r="C718" s="1">
        <v>45730</v>
      </c>
      <c r="D718" t="s">
        <v>450</v>
      </c>
      <c r="E718" t="s">
        <v>403</v>
      </c>
      <c r="F718" t="s">
        <v>23</v>
      </c>
      <c r="G718" t="s">
        <v>44</v>
      </c>
      <c r="H718" t="s">
        <v>45</v>
      </c>
      <c r="I718" t="s">
        <v>46</v>
      </c>
      <c r="J718" t="s">
        <v>27</v>
      </c>
      <c r="K718" t="s">
        <v>116</v>
      </c>
      <c r="L718" t="s">
        <v>207</v>
      </c>
      <c r="M718" t="s">
        <v>208</v>
      </c>
      <c r="N718">
        <v>8</v>
      </c>
      <c r="O718">
        <v>110500</v>
      </c>
      <c r="P718">
        <v>0</v>
      </c>
      <c r="Q718">
        <v>884000</v>
      </c>
      <c r="R718">
        <v>543847.92000000004</v>
      </c>
      <c r="S718">
        <v>340152.08</v>
      </c>
      <c r="T718" t="s">
        <v>40</v>
      </c>
      <c r="U718" t="str">
        <f t="shared" si="33"/>
        <v>2025-03</v>
      </c>
      <c r="V718">
        <f t="shared" si="34"/>
        <v>4</v>
      </c>
      <c r="W718" s="2">
        <f t="shared" si="35"/>
        <v>0.38478742081447964</v>
      </c>
    </row>
    <row r="719" spans="1:23">
      <c r="A719" t="s">
        <v>1429</v>
      </c>
      <c r="B719" s="1">
        <v>45649</v>
      </c>
      <c r="C719" s="1">
        <v>45652</v>
      </c>
      <c r="D719" t="s">
        <v>456</v>
      </c>
      <c r="E719" t="s">
        <v>1430</v>
      </c>
      <c r="F719" t="s">
        <v>35</v>
      </c>
      <c r="G719" t="s">
        <v>169</v>
      </c>
      <c r="H719" t="s">
        <v>157</v>
      </c>
      <c r="I719" t="s">
        <v>57</v>
      </c>
      <c r="J719" t="s">
        <v>36</v>
      </c>
      <c r="K719" t="s">
        <v>89</v>
      </c>
      <c r="L719" t="s">
        <v>90</v>
      </c>
      <c r="M719" t="s">
        <v>91</v>
      </c>
      <c r="N719">
        <v>1</v>
      </c>
      <c r="O719">
        <v>3489200</v>
      </c>
      <c r="P719">
        <v>0.25</v>
      </c>
      <c r="Q719">
        <v>2616900</v>
      </c>
      <c r="R719">
        <v>2441985.9</v>
      </c>
      <c r="S719">
        <v>174914.1</v>
      </c>
      <c r="T719" t="s">
        <v>60</v>
      </c>
      <c r="U719" t="str">
        <f t="shared" si="33"/>
        <v>2024-12</v>
      </c>
      <c r="V719">
        <f t="shared" si="34"/>
        <v>3</v>
      </c>
      <c r="W719" s="2">
        <f t="shared" si="35"/>
        <v>6.6840192594290956E-2</v>
      </c>
    </row>
    <row r="720" spans="1:23">
      <c r="A720" t="s">
        <v>1431</v>
      </c>
      <c r="B720" s="1">
        <v>45935</v>
      </c>
      <c r="C720" s="1">
        <v>45940</v>
      </c>
      <c r="D720" t="s">
        <v>614</v>
      </c>
      <c r="E720" t="s">
        <v>658</v>
      </c>
      <c r="F720" t="s">
        <v>23</v>
      </c>
      <c r="G720" t="s">
        <v>169</v>
      </c>
      <c r="H720" t="s">
        <v>157</v>
      </c>
      <c r="I720" t="s">
        <v>57</v>
      </c>
      <c r="J720" t="s">
        <v>36</v>
      </c>
      <c r="K720" t="s">
        <v>81</v>
      </c>
      <c r="L720" t="s">
        <v>82</v>
      </c>
      <c r="M720" t="s">
        <v>83</v>
      </c>
      <c r="N720">
        <v>2</v>
      </c>
      <c r="O720">
        <v>696100</v>
      </c>
      <c r="P720">
        <v>0.15</v>
      </c>
      <c r="Q720">
        <v>1183370</v>
      </c>
      <c r="R720">
        <v>871863.28</v>
      </c>
      <c r="S720">
        <v>311506.71999999997</v>
      </c>
      <c r="T720" t="s">
        <v>40</v>
      </c>
      <c r="U720" t="str">
        <f t="shared" si="33"/>
        <v>2025-10</v>
      </c>
      <c r="V720">
        <f t="shared" si="34"/>
        <v>5</v>
      </c>
      <c r="W720" s="2">
        <f t="shared" si="35"/>
        <v>0.26323695885479603</v>
      </c>
    </row>
    <row r="721" spans="1:23">
      <c r="A721" t="s">
        <v>1432</v>
      </c>
      <c r="B721" s="1">
        <v>44932</v>
      </c>
      <c r="C721" s="1">
        <v>44934</v>
      </c>
      <c r="D721" t="s">
        <v>1020</v>
      </c>
      <c r="E721" t="s">
        <v>524</v>
      </c>
      <c r="F721" t="s">
        <v>35</v>
      </c>
      <c r="G721" t="s">
        <v>156</v>
      </c>
      <c r="H721" t="s">
        <v>157</v>
      </c>
      <c r="I721" t="s">
        <v>57</v>
      </c>
      <c r="J721" t="s">
        <v>27</v>
      </c>
      <c r="K721" t="s">
        <v>100</v>
      </c>
      <c r="L721" t="s">
        <v>101</v>
      </c>
      <c r="M721" t="s">
        <v>102</v>
      </c>
      <c r="N721">
        <v>6</v>
      </c>
      <c r="O721">
        <v>53000</v>
      </c>
      <c r="P721">
        <v>0.05</v>
      </c>
      <c r="Q721">
        <v>302100</v>
      </c>
      <c r="R721">
        <v>185453.06</v>
      </c>
      <c r="S721">
        <v>116646.94</v>
      </c>
      <c r="T721" t="s">
        <v>73</v>
      </c>
      <c r="U721" t="str">
        <f t="shared" si="33"/>
        <v>2023-01</v>
      </c>
      <c r="V721">
        <f t="shared" si="34"/>
        <v>2</v>
      </c>
      <c r="W721" s="2">
        <f t="shared" si="35"/>
        <v>0.38612029129427344</v>
      </c>
    </row>
    <row r="722" spans="1:23">
      <c r="A722" t="s">
        <v>1433</v>
      </c>
      <c r="B722" s="1">
        <v>45222</v>
      </c>
      <c r="C722" s="1">
        <v>45229</v>
      </c>
      <c r="D722" t="s">
        <v>520</v>
      </c>
      <c r="E722" t="s">
        <v>909</v>
      </c>
      <c r="F722" t="s">
        <v>23</v>
      </c>
      <c r="G722" t="s">
        <v>24</v>
      </c>
      <c r="H722" t="s">
        <v>25</v>
      </c>
      <c r="I722" t="s">
        <v>26</v>
      </c>
      <c r="J722" t="s">
        <v>27</v>
      </c>
      <c r="K722" t="s">
        <v>116</v>
      </c>
      <c r="L722" t="s">
        <v>117</v>
      </c>
      <c r="M722" t="s">
        <v>118</v>
      </c>
      <c r="N722">
        <v>1</v>
      </c>
      <c r="O722">
        <v>25100</v>
      </c>
      <c r="P722">
        <v>0.25</v>
      </c>
      <c r="Q722">
        <v>18825</v>
      </c>
      <c r="R722">
        <v>12809.6</v>
      </c>
      <c r="S722">
        <v>6015.4</v>
      </c>
      <c r="T722" t="s">
        <v>73</v>
      </c>
      <c r="U722" t="str">
        <f t="shared" si="33"/>
        <v>2023-10</v>
      </c>
      <c r="V722">
        <f t="shared" si="34"/>
        <v>7</v>
      </c>
      <c r="W722" s="2">
        <f t="shared" si="35"/>
        <v>0.31954316069057104</v>
      </c>
    </row>
    <row r="723" spans="1:23">
      <c r="A723" t="s">
        <v>1434</v>
      </c>
      <c r="B723" s="1">
        <v>45796</v>
      </c>
      <c r="C723" s="1">
        <v>45799</v>
      </c>
      <c r="D723" t="s">
        <v>1239</v>
      </c>
      <c r="E723" t="s">
        <v>619</v>
      </c>
      <c r="F723" t="s">
        <v>23</v>
      </c>
      <c r="G723" t="s">
        <v>55</v>
      </c>
      <c r="H723" t="s">
        <v>56</v>
      </c>
      <c r="I723" t="s">
        <v>57</v>
      </c>
      <c r="J723" t="s">
        <v>47</v>
      </c>
      <c r="K723" t="s">
        <v>142</v>
      </c>
      <c r="L723" t="s">
        <v>143</v>
      </c>
      <c r="M723" t="s">
        <v>144</v>
      </c>
      <c r="N723">
        <v>1</v>
      </c>
      <c r="O723">
        <v>5980200</v>
      </c>
      <c r="P723">
        <v>0</v>
      </c>
      <c r="Q723">
        <v>5980200</v>
      </c>
      <c r="R723">
        <v>4592882.05</v>
      </c>
      <c r="S723">
        <v>1387317.95</v>
      </c>
      <c r="T723" t="s">
        <v>73</v>
      </c>
      <c r="U723" t="str">
        <f t="shared" si="33"/>
        <v>2025-05</v>
      </c>
      <c r="V723">
        <f t="shared" si="34"/>
        <v>3</v>
      </c>
      <c r="W723" s="2">
        <f t="shared" si="35"/>
        <v>0.23198520952476506</v>
      </c>
    </row>
    <row r="724" spans="1:23">
      <c r="A724" t="s">
        <v>1435</v>
      </c>
      <c r="B724" s="1">
        <v>45300</v>
      </c>
      <c r="C724" s="1">
        <v>45304</v>
      </c>
      <c r="D724" t="s">
        <v>123</v>
      </c>
      <c r="E724" t="s">
        <v>457</v>
      </c>
      <c r="F724" t="s">
        <v>23</v>
      </c>
      <c r="G724" t="s">
        <v>64</v>
      </c>
      <c r="H724" t="s">
        <v>65</v>
      </c>
      <c r="I724" t="s">
        <v>57</v>
      </c>
      <c r="J724" t="s">
        <v>27</v>
      </c>
      <c r="K724" t="s">
        <v>179</v>
      </c>
      <c r="L724" t="s">
        <v>244</v>
      </c>
      <c r="M724" t="s">
        <v>245</v>
      </c>
      <c r="N724">
        <v>2</v>
      </c>
      <c r="O724">
        <v>39600</v>
      </c>
      <c r="P724">
        <v>0</v>
      </c>
      <c r="Q724">
        <v>79200</v>
      </c>
      <c r="R724">
        <v>38192.800000000003</v>
      </c>
      <c r="S724">
        <v>41007.199999999997</v>
      </c>
      <c r="T724" t="s">
        <v>60</v>
      </c>
      <c r="U724" t="str">
        <f t="shared" si="33"/>
        <v>2024-01</v>
      </c>
      <c r="V724">
        <f t="shared" si="34"/>
        <v>4</v>
      </c>
      <c r="W724" s="2">
        <f t="shared" si="35"/>
        <v>0.51776767676767677</v>
      </c>
    </row>
    <row r="725" spans="1:23">
      <c r="A725" t="s">
        <v>1436</v>
      </c>
      <c r="B725" s="1">
        <v>44992</v>
      </c>
      <c r="C725" s="1">
        <v>44997</v>
      </c>
      <c r="D725" t="s">
        <v>962</v>
      </c>
      <c r="E725" t="s">
        <v>1408</v>
      </c>
      <c r="F725" t="s">
        <v>23</v>
      </c>
      <c r="G725" t="s">
        <v>140</v>
      </c>
      <c r="H725" t="s">
        <v>141</v>
      </c>
      <c r="I725" t="s">
        <v>46</v>
      </c>
      <c r="J725" t="s">
        <v>27</v>
      </c>
      <c r="K725" t="s">
        <v>28</v>
      </c>
      <c r="L725" t="s">
        <v>71</v>
      </c>
      <c r="M725" t="s">
        <v>72</v>
      </c>
      <c r="N725">
        <v>3</v>
      </c>
      <c r="O725">
        <v>49200</v>
      </c>
      <c r="P725">
        <v>0.1</v>
      </c>
      <c r="Q725">
        <v>132840</v>
      </c>
      <c r="R725">
        <v>81191.13</v>
      </c>
      <c r="S725">
        <v>51648.87</v>
      </c>
      <c r="T725" t="s">
        <v>40</v>
      </c>
      <c r="U725" t="str">
        <f t="shared" si="33"/>
        <v>2023-03</v>
      </c>
      <c r="V725">
        <f t="shared" si="34"/>
        <v>5</v>
      </c>
      <c r="W725" s="2">
        <f t="shared" si="35"/>
        <v>0.38880510388437217</v>
      </c>
    </row>
    <row r="726" spans="1:23">
      <c r="A726" t="s">
        <v>1437</v>
      </c>
      <c r="B726" s="1">
        <v>45392</v>
      </c>
      <c r="C726" s="1">
        <v>45396</v>
      </c>
      <c r="D726" t="s">
        <v>438</v>
      </c>
      <c r="E726" t="s">
        <v>554</v>
      </c>
      <c r="F726" t="s">
        <v>35</v>
      </c>
      <c r="G726" t="s">
        <v>44</v>
      </c>
      <c r="H726" t="s">
        <v>45</v>
      </c>
      <c r="I726" t="s">
        <v>46</v>
      </c>
      <c r="J726" t="s">
        <v>27</v>
      </c>
      <c r="K726" t="s">
        <v>179</v>
      </c>
      <c r="L726" t="s">
        <v>244</v>
      </c>
      <c r="M726" t="s">
        <v>245</v>
      </c>
      <c r="N726">
        <v>4</v>
      </c>
      <c r="O726">
        <v>37500</v>
      </c>
      <c r="P726">
        <v>0</v>
      </c>
      <c r="Q726">
        <v>150000</v>
      </c>
      <c r="R726">
        <v>75074.84</v>
      </c>
      <c r="S726">
        <v>74925.16</v>
      </c>
      <c r="T726" t="s">
        <v>73</v>
      </c>
      <c r="U726" t="str">
        <f t="shared" si="33"/>
        <v>2024-04</v>
      </c>
      <c r="V726">
        <f t="shared" si="34"/>
        <v>4</v>
      </c>
      <c r="W726" s="2">
        <f t="shared" si="35"/>
        <v>0.49950106666666672</v>
      </c>
    </row>
    <row r="727" spans="1:23">
      <c r="A727" t="s">
        <v>1438</v>
      </c>
      <c r="B727" s="1">
        <v>45886</v>
      </c>
      <c r="C727" s="1">
        <v>45890</v>
      </c>
      <c r="D727" t="s">
        <v>410</v>
      </c>
      <c r="E727" t="s">
        <v>1439</v>
      </c>
      <c r="F727" t="s">
        <v>23</v>
      </c>
      <c r="G727" t="s">
        <v>169</v>
      </c>
      <c r="H727" t="s">
        <v>157</v>
      </c>
      <c r="I727" t="s">
        <v>57</v>
      </c>
      <c r="J727" t="s">
        <v>47</v>
      </c>
      <c r="K727" t="s">
        <v>48</v>
      </c>
      <c r="L727" t="s">
        <v>225</v>
      </c>
      <c r="M727" t="s">
        <v>226</v>
      </c>
      <c r="N727">
        <v>3</v>
      </c>
      <c r="O727">
        <v>216900</v>
      </c>
      <c r="P727">
        <v>0</v>
      </c>
      <c r="Q727">
        <v>650700</v>
      </c>
      <c r="R727">
        <v>374848.14</v>
      </c>
      <c r="S727">
        <v>275851.86</v>
      </c>
      <c r="T727" t="s">
        <v>60</v>
      </c>
      <c r="U727" t="str">
        <f t="shared" si="33"/>
        <v>2025-08</v>
      </c>
      <c r="V727">
        <f t="shared" si="34"/>
        <v>4</v>
      </c>
      <c r="W727" s="2">
        <f t="shared" si="35"/>
        <v>0.42393093591516828</v>
      </c>
    </row>
    <row r="728" spans="1:23">
      <c r="A728" t="s">
        <v>1440</v>
      </c>
      <c r="B728" s="1">
        <v>45504</v>
      </c>
      <c r="C728" s="1">
        <v>45506</v>
      </c>
      <c r="D728" t="s">
        <v>385</v>
      </c>
      <c r="E728" t="s">
        <v>891</v>
      </c>
      <c r="F728" t="s">
        <v>35</v>
      </c>
      <c r="G728" t="s">
        <v>24</v>
      </c>
      <c r="H728" t="s">
        <v>25</v>
      </c>
      <c r="I728" t="s">
        <v>26</v>
      </c>
      <c r="J728" t="s">
        <v>36</v>
      </c>
      <c r="K728" t="s">
        <v>81</v>
      </c>
      <c r="L728" t="s">
        <v>215</v>
      </c>
      <c r="M728" t="s">
        <v>216</v>
      </c>
      <c r="N728">
        <v>1</v>
      </c>
      <c r="O728">
        <v>1652700</v>
      </c>
      <c r="P728">
        <v>0.25</v>
      </c>
      <c r="Q728">
        <v>1239525</v>
      </c>
      <c r="R728">
        <v>1070322.82</v>
      </c>
      <c r="S728">
        <v>169202.18</v>
      </c>
      <c r="T728" t="s">
        <v>60</v>
      </c>
      <c r="U728" t="str">
        <f t="shared" si="33"/>
        <v>2024-07</v>
      </c>
      <c r="V728">
        <f t="shared" si="34"/>
        <v>2</v>
      </c>
      <c r="W728" s="2">
        <f t="shared" si="35"/>
        <v>0.13650566144289142</v>
      </c>
    </row>
    <row r="729" spans="1:23">
      <c r="A729" t="s">
        <v>1441</v>
      </c>
      <c r="B729" s="1">
        <v>45018</v>
      </c>
      <c r="C729" s="1">
        <v>45023</v>
      </c>
      <c r="D729" t="s">
        <v>426</v>
      </c>
      <c r="E729" t="s">
        <v>445</v>
      </c>
      <c r="F729" t="s">
        <v>23</v>
      </c>
      <c r="G729" t="s">
        <v>140</v>
      </c>
      <c r="H729" t="s">
        <v>141</v>
      </c>
      <c r="I729" t="s">
        <v>46</v>
      </c>
      <c r="J729" t="s">
        <v>27</v>
      </c>
      <c r="K729" t="s">
        <v>116</v>
      </c>
      <c r="L729" t="s">
        <v>207</v>
      </c>
      <c r="M729" t="s">
        <v>208</v>
      </c>
      <c r="N729">
        <v>8</v>
      </c>
      <c r="O729">
        <v>103700</v>
      </c>
      <c r="P729">
        <v>0.05</v>
      </c>
      <c r="Q729">
        <v>788120</v>
      </c>
      <c r="R729">
        <v>466588.61</v>
      </c>
      <c r="S729">
        <v>321531.39</v>
      </c>
      <c r="T729" t="s">
        <v>31</v>
      </c>
      <c r="U729" t="str">
        <f t="shared" si="33"/>
        <v>2023-04</v>
      </c>
      <c r="V729">
        <f t="shared" si="34"/>
        <v>5</v>
      </c>
      <c r="W729" s="2">
        <f t="shared" si="35"/>
        <v>0.40797263107141046</v>
      </c>
    </row>
    <row r="730" spans="1:23">
      <c r="A730" t="s">
        <v>1442</v>
      </c>
      <c r="B730" s="1">
        <v>45571</v>
      </c>
      <c r="C730" s="1">
        <v>45578</v>
      </c>
      <c r="D730" t="s">
        <v>413</v>
      </c>
      <c r="E730" t="s">
        <v>1048</v>
      </c>
      <c r="F730" t="s">
        <v>35</v>
      </c>
      <c r="G730" t="s">
        <v>80</v>
      </c>
      <c r="H730" t="s">
        <v>45</v>
      </c>
      <c r="I730" t="s">
        <v>46</v>
      </c>
      <c r="J730" t="s">
        <v>36</v>
      </c>
      <c r="K730" t="s">
        <v>89</v>
      </c>
      <c r="L730" t="s">
        <v>151</v>
      </c>
      <c r="M730" t="s">
        <v>152</v>
      </c>
      <c r="N730">
        <v>2</v>
      </c>
      <c r="O730">
        <v>1371500</v>
      </c>
      <c r="P730">
        <v>0.05</v>
      </c>
      <c r="Q730">
        <v>2605850</v>
      </c>
      <c r="R730">
        <v>1865897.3</v>
      </c>
      <c r="S730">
        <v>739952.7</v>
      </c>
      <c r="T730" t="s">
        <v>31</v>
      </c>
      <c r="U730" t="str">
        <f t="shared" si="33"/>
        <v>2024-10</v>
      </c>
      <c r="V730">
        <f t="shared" si="34"/>
        <v>7</v>
      </c>
      <c r="W730" s="2">
        <f t="shared" si="35"/>
        <v>0.28395828616382368</v>
      </c>
    </row>
    <row r="731" spans="1:23">
      <c r="A731" t="s">
        <v>1443</v>
      </c>
      <c r="B731" s="1">
        <v>45709</v>
      </c>
      <c r="C731" s="1">
        <v>45713</v>
      </c>
      <c r="D731" t="s">
        <v>349</v>
      </c>
      <c r="E731" t="s">
        <v>388</v>
      </c>
      <c r="F731" t="s">
        <v>23</v>
      </c>
      <c r="G731" t="s">
        <v>95</v>
      </c>
      <c r="H731" t="s">
        <v>96</v>
      </c>
      <c r="I731" t="s">
        <v>26</v>
      </c>
      <c r="J731" t="s">
        <v>36</v>
      </c>
      <c r="K731" t="s">
        <v>81</v>
      </c>
      <c r="L731" t="s">
        <v>215</v>
      </c>
      <c r="M731" t="s">
        <v>216</v>
      </c>
      <c r="N731">
        <v>1</v>
      </c>
      <c r="O731">
        <v>1816000</v>
      </c>
      <c r="P731">
        <v>0.25</v>
      </c>
      <c r="Q731">
        <v>1362000</v>
      </c>
      <c r="R731">
        <v>1174713.58</v>
      </c>
      <c r="S731">
        <v>187286.42</v>
      </c>
      <c r="T731" t="s">
        <v>40</v>
      </c>
      <c r="U731" t="str">
        <f t="shared" si="33"/>
        <v>2025-02</v>
      </c>
      <c r="V731">
        <f t="shared" si="34"/>
        <v>4</v>
      </c>
      <c r="W731" s="2">
        <f t="shared" si="35"/>
        <v>0.13750838472834068</v>
      </c>
    </row>
    <row r="732" spans="1:23">
      <c r="A732" t="s">
        <v>1444</v>
      </c>
      <c r="B732" s="1">
        <v>45215</v>
      </c>
      <c r="C732" s="1">
        <v>45222</v>
      </c>
      <c r="D732" t="s">
        <v>1445</v>
      </c>
      <c r="E732" t="s">
        <v>168</v>
      </c>
      <c r="F732" t="s">
        <v>35</v>
      </c>
      <c r="G732" t="s">
        <v>64</v>
      </c>
      <c r="H732" t="s">
        <v>65</v>
      </c>
      <c r="I732" t="s">
        <v>57</v>
      </c>
      <c r="J732" t="s">
        <v>27</v>
      </c>
      <c r="K732" t="s">
        <v>179</v>
      </c>
      <c r="L732" t="s">
        <v>180</v>
      </c>
      <c r="M732" t="s">
        <v>181</v>
      </c>
      <c r="N732">
        <v>1</v>
      </c>
      <c r="O732">
        <v>58100</v>
      </c>
      <c r="P732">
        <v>0.25</v>
      </c>
      <c r="Q732">
        <v>43575</v>
      </c>
      <c r="R732">
        <v>29413.53</v>
      </c>
      <c r="S732">
        <v>14161.47</v>
      </c>
      <c r="T732" t="s">
        <v>60</v>
      </c>
      <c r="U732" t="str">
        <f t="shared" si="33"/>
        <v>2023-10</v>
      </c>
      <c r="V732">
        <f t="shared" si="34"/>
        <v>7</v>
      </c>
      <c r="W732" s="2">
        <f t="shared" si="35"/>
        <v>0.32499070567986227</v>
      </c>
    </row>
    <row r="733" spans="1:23">
      <c r="A733" t="s">
        <v>1446</v>
      </c>
      <c r="B733" s="1">
        <v>45080</v>
      </c>
      <c r="C733" s="1">
        <v>45082</v>
      </c>
      <c r="D733" t="s">
        <v>614</v>
      </c>
      <c r="E733" t="s">
        <v>597</v>
      </c>
      <c r="F733" t="s">
        <v>35</v>
      </c>
      <c r="G733" t="s">
        <v>44</v>
      </c>
      <c r="H733" t="s">
        <v>45</v>
      </c>
      <c r="I733" t="s">
        <v>46</v>
      </c>
      <c r="J733" t="s">
        <v>36</v>
      </c>
      <c r="K733" t="s">
        <v>89</v>
      </c>
      <c r="L733" t="s">
        <v>90</v>
      </c>
      <c r="M733" t="s">
        <v>91</v>
      </c>
      <c r="N733">
        <v>4</v>
      </c>
      <c r="O733">
        <v>3049500</v>
      </c>
      <c r="P733">
        <v>0.2</v>
      </c>
      <c r="Q733">
        <v>9758400</v>
      </c>
      <c r="R733">
        <v>8996779.5199999996</v>
      </c>
      <c r="S733">
        <v>761620.47999999998</v>
      </c>
      <c r="T733" t="s">
        <v>73</v>
      </c>
      <c r="U733" t="str">
        <f t="shared" si="33"/>
        <v>2023-06</v>
      </c>
      <c r="V733">
        <f t="shared" si="34"/>
        <v>2</v>
      </c>
      <c r="W733" s="2">
        <f t="shared" si="35"/>
        <v>7.8047679947532381E-2</v>
      </c>
    </row>
    <row r="734" spans="1:23">
      <c r="A734" t="s">
        <v>1447</v>
      </c>
      <c r="B734" s="1">
        <v>45858</v>
      </c>
      <c r="C734" s="1">
        <v>45861</v>
      </c>
      <c r="D734" t="s">
        <v>351</v>
      </c>
      <c r="E734" t="s">
        <v>442</v>
      </c>
      <c r="F734" t="s">
        <v>23</v>
      </c>
      <c r="G734" t="s">
        <v>80</v>
      </c>
      <c r="H734" t="s">
        <v>45</v>
      </c>
      <c r="I734" t="s">
        <v>46</v>
      </c>
      <c r="J734" t="s">
        <v>47</v>
      </c>
      <c r="K734" t="s">
        <v>48</v>
      </c>
      <c r="L734" t="s">
        <v>66</v>
      </c>
      <c r="M734" t="s">
        <v>67</v>
      </c>
      <c r="N734">
        <v>2</v>
      </c>
      <c r="O734">
        <v>114500</v>
      </c>
      <c r="P734">
        <v>0.15</v>
      </c>
      <c r="Q734">
        <v>194650</v>
      </c>
      <c r="R734">
        <v>134134.43</v>
      </c>
      <c r="S734">
        <v>60515.57</v>
      </c>
      <c r="T734" t="s">
        <v>60</v>
      </c>
      <c r="U734" t="str">
        <f t="shared" si="33"/>
        <v>2025-07</v>
      </c>
      <c r="V734">
        <f t="shared" si="34"/>
        <v>3</v>
      </c>
      <c r="W734" s="2">
        <f t="shared" si="35"/>
        <v>0.3108942717698433</v>
      </c>
    </row>
    <row r="735" spans="1:23">
      <c r="A735" t="s">
        <v>1448</v>
      </c>
      <c r="B735" s="1">
        <v>45832</v>
      </c>
      <c r="C735" s="1">
        <v>45838</v>
      </c>
      <c r="D735" t="s">
        <v>773</v>
      </c>
      <c r="E735" t="s">
        <v>315</v>
      </c>
      <c r="F735" t="s">
        <v>23</v>
      </c>
      <c r="G735" t="s">
        <v>55</v>
      </c>
      <c r="H735" t="s">
        <v>56</v>
      </c>
      <c r="I735" t="s">
        <v>57</v>
      </c>
      <c r="J735" t="s">
        <v>27</v>
      </c>
      <c r="K735" t="s">
        <v>100</v>
      </c>
      <c r="L735" t="s">
        <v>105</v>
      </c>
      <c r="M735" t="s">
        <v>106</v>
      </c>
      <c r="N735">
        <v>5</v>
      </c>
      <c r="O735">
        <v>75100</v>
      </c>
      <c r="P735">
        <v>0.2</v>
      </c>
      <c r="Q735">
        <v>300400</v>
      </c>
      <c r="R735">
        <v>232867.21</v>
      </c>
      <c r="S735">
        <v>67532.789999999994</v>
      </c>
      <c r="T735" t="s">
        <v>60</v>
      </c>
      <c r="U735" t="str">
        <f t="shared" si="33"/>
        <v>2025-06</v>
      </c>
      <c r="V735">
        <f t="shared" si="34"/>
        <v>6</v>
      </c>
      <c r="W735" s="2">
        <f t="shared" si="35"/>
        <v>0.22480955392809585</v>
      </c>
    </row>
    <row r="736" spans="1:23">
      <c r="A736" t="s">
        <v>1449</v>
      </c>
      <c r="B736" s="1">
        <v>45976</v>
      </c>
      <c r="C736" s="1">
        <v>45983</v>
      </c>
      <c r="D736" t="s">
        <v>748</v>
      </c>
      <c r="E736" t="s">
        <v>652</v>
      </c>
      <c r="F736" t="s">
        <v>23</v>
      </c>
      <c r="G736" t="s">
        <v>156</v>
      </c>
      <c r="H736" t="s">
        <v>157</v>
      </c>
      <c r="I736" t="s">
        <v>57</v>
      </c>
      <c r="J736" t="s">
        <v>27</v>
      </c>
      <c r="K736" t="s">
        <v>179</v>
      </c>
      <c r="L736" t="s">
        <v>180</v>
      </c>
      <c r="M736" t="s">
        <v>181</v>
      </c>
      <c r="N736">
        <v>2</v>
      </c>
      <c r="O736">
        <v>53600</v>
      </c>
      <c r="P736">
        <v>0.2</v>
      </c>
      <c r="Q736">
        <v>85760</v>
      </c>
      <c r="R736">
        <v>59016.61</v>
      </c>
      <c r="S736">
        <v>26743.39</v>
      </c>
      <c r="T736" t="s">
        <v>40</v>
      </c>
      <c r="U736" t="str">
        <f t="shared" si="33"/>
        <v>2025-11</v>
      </c>
      <c r="V736">
        <f t="shared" si="34"/>
        <v>7</v>
      </c>
      <c r="W736" s="2">
        <f t="shared" si="35"/>
        <v>0.31183990205223883</v>
      </c>
    </row>
    <row r="737" spans="1:23">
      <c r="A737" t="s">
        <v>1450</v>
      </c>
      <c r="B737" s="1">
        <v>45428</v>
      </c>
      <c r="C737" s="1">
        <v>45434</v>
      </c>
      <c r="D737" t="s">
        <v>284</v>
      </c>
      <c r="E737" t="s">
        <v>759</v>
      </c>
      <c r="F737" t="s">
        <v>54</v>
      </c>
      <c r="G737" t="s">
        <v>80</v>
      </c>
      <c r="H737" t="s">
        <v>45</v>
      </c>
      <c r="I737" t="s">
        <v>46</v>
      </c>
      <c r="J737" t="s">
        <v>27</v>
      </c>
      <c r="K737" t="s">
        <v>100</v>
      </c>
      <c r="L737" t="s">
        <v>101</v>
      </c>
      <c r="M737" t="s">
        <v>102</v>
      </c>
      <c r="N737">
        <v>2</v>
      </c>
      <c r="O737">
        <v>59500</v>
      </c>
      <c r="P737">
        <v>0.2</v>
      </c>
      <c r="Q737">
        <v>95200</v>
      </c>
      <c r="R737">
        <v>64075.33</v>
      </c>
      <c r="S737">
        <v>31124.67</v>
      </c>
      <c r="T737" t="s">
        <v>60</v>
      </c>
      <c r="U737" t="str">
        <f t="shared" si="33"/>
        <v>2024-05</v>
      </c>
      <c r="V737">
        <f t="shared" si="34"/>
        <v>6</v>
      </c>
      <c r="W737" s="2">
        <f t="shared" si="35"/>
        <v>0.32693981092436974</v>
      </c>
    </row>
    <row r="738" spans="1:23">
      <c r="A738" t="s">
        <v>1451</v>
      </c>
      <c r="B738" s="1">
        <v>45641</v>
      </c>
      <c r="C738" s="1">
        <v>45645</v>
      </c>
      <c r="D738" t="s">
        <v>1055</v>
      </c>
      <c r="E738" t="s">
        <v>222</v>
      </c>
      <c r="F738" t="s">
        <v>23</v>
      </c>
      <c r="G738" t="s">
        <v>64</v>
      </c>
      <c r="H738" t="s">
        <v>65</v>
      </c>
      <c r="I738" t="s">
        <v>57</v>
      </c>
      <c r="J738" t="s">
        <v>36</v>
      </c>
      <c r="K738" t="s">
        <v>37</v>
      </c>
      <c r="L738" t="s">
        <v>38</v>
      </c>
      <c r="M738" t="s">
        <v>39</v>
      </c>
      <c r="N738">
        <v>4</v>
      </c>
      <c r="O738">
        <v>1079800</v>
      </c>
      <c r="P738">
        <v>0.25</v>
      </c>
      <c r="Q738">
        <v>3239400</v>
      </c>
      <c r="R738">
        <v>3083521.59</v>
      </c>
      <c r="S738">
        <v>155878.41</v>
      </c>
      <c r="T738" t="s">
        <v>73</v>
      </c>
      <c r="U738" t="str">
        <f t="shared" si="33"/>
        <v>2024-12</v>
      </c>
      <c r="V738">
        <f t="shared" si="34"/>
        <v>4</v>
      </c>
      <c r="W738" s="2">
        <f t="shared" si="35"/>
        <v>4.8119531394702722E-2</v>
      </c>
    </row>
    <row r="739" spans="1:23">
      <c r="A739" t="s">
        <v>1452</v>
      </c>
      <c r="B739" s="1">
        <v>45059</v>
      </c>
      <c r="C739" s="1">
        <v>45062</v>
      </c>
      <c r="D739" t="s">
        <v>893</v>
      </c>
      <c r="E739" t="s">
        <v>492</v>
      </c>
      <c r="F739" t="s">
        <v>23</v>
      </c>
      <c r="G739" t="s">
        <v>64</v>
      </c>
      <c r="H739" t="s">
        <v>65</v>
      </c>
      <c r="I739" t="s">
        <v>57</v>
      </c>
      <c r="J739" t="s">
        <v>36</v>
      </c>
      <c r="K739" t="s">
        <v>37</v>
      </c>
      <c r="L739" t="s">
        <v>38</v>
      </c>
      <c r="M739" t="s">
        <v>39</v>
      </c>
      <c r="N739">
        <v>1</v>
      </c>
      <c r="O739">
        <v>980000</v>
      </c>
      <c r="P739">
        <v>0.1</v>
      </c>
      <c r="Q739">
        <v>882000</v>
      </c>
      <c r="R739">
        <v>715253.37</v>
      </c>
      <c r="S739">
        <v>166746.63</v>
      </c>
      <c r="T739" t="s">
        <v>40</v>
      </c>
      <c r="U739" t="str">
        <f t="shared" si="33"/>
        <v>2023-05</v>
      </c>
      <c r="V739">
        <f t="shared" si="34"/>
        <v>3</v>
      </c>
      <c r="W739" s="2">
        <f t="shared" si="35"/>
        <v>0.18905513605442179</v>
      </c>
    </row>
    <row r="740" spans="1:23">
      <c r="A740" t="s">
        <v>1453</v>
      </c>
      <c r="B740" s="1">
        <v>45582</v>
      </c>
      <c r="C740" s="1">
        <v>45587</v>
      </c>
      <c r="D740" t="s">
        <v>523</v>
      </c>
      <c r="E740" t="s">
        <v>1454</v>
      </c>
      <c r="F740" t="s">
        <v>54</v>
      </c>
      <c r="G740" t="s">
        <v>140</v>
      </c>
      <c r="H740" t="s">
        <v>141</v>
      </c>
      <c r="I740" t="s">
        <v>46</v>
      </c>
      <c r="J740" t="s">
        <v>47</v>
      </c>
      <c r="K740" t="s">
        <v>48</v>
      </c>
      <c r="L740" t="s">
        <v>225</v>
      </c>
      <c r="M740" t="s">
        <v>226</v>
      </c>
      <c r="N740">
        <v>4</v>
      </c>
      <c r="O740">
        <v>256500</v>
      </c>
      <c r="P740">
        <v>0</v>
      </c>
      <c r="Q740">
        <v>1026000</v>
      </c>
      <c r="R740">
        <v>601745.35</v>
      </c>
      <c r="S740">
        <v>424254.65</v>
      </c>
      <c r="T740" t="s">
        <v>60</v>
      </c>
      <c r="U740" t="str">
        <f t="shared" si="33"/>
        <v>2024-10</v>
      </c>
      <c r="V740">
        <f t="shared" si="34"/>
        <v>5</v>
      </c>
      <c r="W740" s="2">
        <f t="shared" si="35"/>
        <v>0.41350355750487333</v>
      </c>
    </row>
    <row r="741" spans="1:23">
      <c r="A741" t="s">
        <v>1455</v>
      </c>
      <c r="B741" s="1">
        <v>45793</v>
      </c>
      <c r="C741" s="1">
        <v>45796</v>
      </c>
      <c r="D741" t="s">
        <v>111</v>
      </c>
      <c r="E741" t="s">
        <v>742</v>
      </c>
      <c r="F741" t="s">
        <v>23</v>
      </c>
      <c r="G741" t="s">
        <v>44</v>
      </c>
      <c r="H741" t="s">
        <v>45</v>
      </c>
      <c r="I741" t="s">
        <v>46</v>
      </c>
      <c r="J741" t="s">
        <v>47</v>
      </c>
      <c r="K741" t="s">
        <v>173</v>
      </c>
      <c r="L741" t="s">
        <v>203</v>
      </c>
      <c r="M741" t="s">
        <v>204</v>
      </c>
      <c r="N741">
        <v>2</v>
      </c>
      <c r="O741">
        <v>3090000</v>
      </c>
      <c r="P741">
        <v>0.15</v>
      </c>
      <c r="Q741">
        <v>5253000</v>
      </c>
      <c r="R741">
        <v>4993955.2</v>
      </c>
      <c r="S741">
        <v>259044.8</v>
      </c>
      <c r="T741" t="s">
        <v>60</v>
      </c>
      <c r="U741" t="str">
        <f t="shared" si="33"/>
        <v>2025-05</v>
      </c>
      <c r="V741">
        <f t="shared" si="34"/>
        <v>3</v>
      </c>
      <c r="W741" s="2">
        <f t="shared" si="35"/>
        <v>4.9313687416714255E-2</v>
      </c>
    </row>
    <row r="742" spans="1:23">
      <c r="A742" t="s">
        <v>1456</v>
      </c>
      <c r="B742" s="1">
        <v>45458</v>
      </c>
      <c r="C742" s="1">
        <v>45460</v>
      </c>
      <c r="D742" t="s">
        <v>799</v>
      </c>
      <c r="E742" t="s">
        <v>34</v>
      </c>
      <c r="F742" t="s">
        <v>23</v>
      </c>
      <c r="G742" t="s">
        <v>169</v>
      </c>
      <c r="H742" t="s">
        <v>157</v>
      </c>
      <c r="I742" t="s">
        <v>57</v>
      </c>
      <c r="J742" t="s">
        <v>27</v>
      </c>
      <c r="K742" t="s">
        <v>100</v>
      </c>
      <c r="L742" t="s">
        <v>105</v>
      </c>
      <c r="M742" t="s">
        <v>106</v>
      </c>
      <c r="N742">
        <v>1</v>
      </c>
      <c r="O742">
        <v>74200</v>
      </c>
      <c r="P742">
        <v>0.05</v>
      </c>
      <c r="Q742">
        <v>70490</v>
      </c>
      <c r="R742">
        <v>43544.47</v>
      </c>
      <c r="S742">
        <v>26945.53</v>
      </c>
      <c r="T742" t="s">
        <v>60</v>
      </c>
      <c r="U742" t="str">
        <f t="shared" si="33"/>
        <v>2024-06</v>
      </c>
      <c r="V742">
        <f t="shared" si="34"/>
        <v>2</v>
      </c>
      <c r="W742" s="2">
        <f t="shared" si="35"/>
        <v>0.38226032061285287</v>
      </c>
    </row>
    <row r="743" spans="1:23">
      <c r="A743" t="s">
        <v>1457</v>
      </c>
      <c r="B743" s="1">
        <v>45653</v>
      </c>
      <c r="C743" s="1">
        <v>45659</v>
      </c>
      <c r="D743" t="s">
        <v>686</v>
      </c>
      <c r="E743" t="s">
        <v>913</v>
      </c>
      <c r="F743" t="s">
        <v>35</v>
      </c>
      <c r="G743" t="s">
        <v>87</v>
      </c>
      <c r="H743" t="s">
        <v>88</v>
      </c>
      <c r="I743" t="s">
        <v>46</v>
      </c>
      <c r="J743" t="s">
        <v>36</v>
      </c>
      <c r="K743" t="s">
        <v>81</v>
      </c>
      <c r="L743" t="s">
        <v>215</v>
      </c>
      <c r="M743" t="s">
        <v>216</v>
      </c>
      <c r="N743">
        <v>1</v>
      </c>
      <c r="O743">
        <v>1832200</v>
      </c>
      <c r="P743">
        <v>0.1</v>
      </c>
      <c r="Q743">
        <v>1648980</v>
      </c>
      <c r="R743">
        <v>1199681.05</v>
      </c>
      <c r="S743">
        <v>449298.95</v>
      </c>
      <c r="T743" t="s">
        <v>73</v>
      </c>
      <c r="U743" t="str">
        <f t="shared" si="33"/>
        <v>2024-12</v>
      </c>
      <c r="V743">
        <f t="shared" si="34"/>
        <v>6</v>
      </c>
      <c r="W743" s="2">
        <f t="shared" si="35"/>
        <v>0.27247083045276477</v>
      </c>
    </row>
    <row r="744" spans="1:23">
      <c r="A744" t="s">
        <v>1458</v>
      </c>
      <c r="B744" s="1">
        <v>45866</v>
      </c>
      <c r="C744" s="1">
        <v>45868</v>
      </c>
      <c r="D744" t="s">
        <v>651</v>
      </c>
      <c r="E744" t="s">
        <v>866</v>
      </c>
      <c r="F744" t="s">
        <v>35</v>
      </c>
      <c r="G744" t="s">
        <v>44</v>
      </c>
      <c r="H744" t="s">
        <v>45</v>
      </c>
      <c r="I744" t="s">
        <v>46</v>
      </c>
      <c r="J744" t="s">
        <v>36</v>
      </c>
      <c r="K744" t="s">
        <v>89</v>
      </c>
      <c r="L744" t="s">
        <v>151</v>
      </c>
      <c r="M744" t="s">
        <v>152</v>
      </c>
      <c r="N744">
        <v>1</v>
      </c>
      <c r="O744">
        <v>1323600</v>
      </c>
      <c r="P744">
        <v>0.3</v>
      </c>
      <c r="Q744">
        <v>926520</v>
      </c>
      <c r="R744">
        <v>951223.01</v>
      </c>
      <c r="S744">
        <v>-24703.01</v>
      </c>
      <c r="T744" t="s">
        <v>40</v>
      </c>
      <c r="U744" t="str">
        <f t="shared" si="33"/>
        <v>2025-07</v>
      </c>
      <c r="V744">
        <f t="shared" si="34"/>
        <v>2</v>
      </c>
      <c r="W744" s="2">
        <f t="shared" si="35"/>
        <v>-2.6662144368173379E-2</v>
      </c>
    </row>
    <row r="745" spans="1:23">
      <c r="A745" t="s">
        <v>1459</v>
      </c>
      <c r="B745" s="1">
        <v>45126</v>
      </c>
      <c r="C745" s="1">
        <v>45127</v>
      </c>
      <c r="D745" t="s">
        <v>540</v>
      </c>
      <c r="E745" t="s">
        <v>358</v>
      </c>
      <c r="F745" t="s">
        <v>35</v>
      </c>
      <c r="G745" t="s">
        <v>169</v>
      </c>
      <c r="H745" t="s">
        <v>157</v>
      </c>
      <c r="I745" t="s">
        <v>57</v>
      </c>
      <c r="J745" t="s">
        <v>47</v>
      </c>
      <c r="K745" t="s">
        <v>173</v>
      </c>
      <c r="L745" t="s">
        <v>174</v>
      </c>
      <c r="M745" t="s">
        <v>175</v>
      </c>
      <c r="N745">
        <v>3</v>
      </c>
      <c r="O745">
        <v>4453500</v>
      </c>
      <c r="P745">
        <v>0</v>
      </c>
      <c r="Q745">
        <v>13360500</v>
      </c>
      <c r="R745">
        <v>9768369.2899999991</v>
      </c>
      <c r="S745">
        <v>3592130.71</v>
      </c>
      <c r="T745" t="s">
        <v>73</v>
      </c>
      <c r="U745" t="str">
        <f t="shared" si="33"/>
        <v>2023-07</v>
      </c>
      <c r="V745">
        <f t="shared" si="34"/>
        <v>1</v>
      </c>
      <c r="W745" s="2">
        <f t="shared" si="35"/>
        <v>0.26886199693125257</v>
      </c>
    </row>
    <row r="746" spans="1:23">
      <c r="A746" t="s">
        <v>1460</v>
      </c>
      <c r="B746" s="1">
        <v>45672</v>
      </c>
      <c r="C746" s="1">
        <v>45673</v>
      </c>
      <c r="D746" t="s">
        <v>380</v>
      </c>
      <c r="E746" t="s">
        <v>427</v>
      </c>
      <c r="F746" t="s">
        <v>35</v>
      </c>
      <c r="G746" t="s">
        <v>87</v>
      </c>
      <c r="H746" t="s">
        <v>88</v>
      </c>
      <c r="I746" t="s">
        <v>46</v>
      </c>
      <c r="J746" t="s">
        <v>47</v>
      </c>
      <c r="K746" t="s">
        <v>48</v>
      </c>
      <c r="L746" t="s">
        <v>66</v>
      </c>
      <c r="M746" t="s">
        <v>67</v>
      </c>
      <c r="N746">
        <v>3</v>
      </c>
      <c r="O746">
        <v>130300</v>
      </c>
      <c r="P746">
        <v>0.05</v>
      </c>
      <c r="Q746">
        <v>371355</v>
      </c>
      <c r="R746">
        <v>227481.58</v>
      </c>
      <c r="S746">
        <v>143873.42000000001</v>
      </c>
      <c r="T746" t="s">
        <v>31</v>
      </c>
      <c r="U746" t="str">
        <f t="shared" si="33"/>
        <v>2025-01</v>
      </c>
      <c r="V746">
        <f t="shared" si="34"/>
        <v>1</v>
      </c>
      <c r="W746" s="2">
        <f t="shared" si="35"/>
        <v>0.38742825598147329</v>
      </c>
    </row>
    <row r="747" spans="1:23">
      <c r="A747" t="s">
        <v>1461</v>
      </c>
      <c r="B747" s="1">
        <v>45799</v>
      </c>
      <c r="C747" s="1">
        <v>45804</v>
      </c>
      <c r="D747" t="s">
        <v>964</v>
      </c>
      <c r="E747" t="s">
        <v>1462</v>
      </c>
      <c r="F747" t="s">
        <v>54</v>
      </c>
      <c r="G747" t="s">
        <v>44</v>
      </c>
      <c r="H747" t="s">
        <v>45</v>
      </c>
      <c r="I747" t="s">
        <v>46</v>
      </c>
      <c r="J747" t="s">
        <v>27</v>
      </c>
      <c r="K747" t="s">
        <v>179</v>
      </c>
      <c r="L747" t="s">
        <v>180</v>
      </c>
      <c r="M747" t="s">
        <v>181</v>
      </c>
      <c r="N747">
        <v>2</v>
      </c>
      <c r="O747">
        <v>52600</v>
      </c>
      <c r="P747">
        <v>0.1</v>
      </c>
      <c r="Q747">
        <v>94680</v>
      </c>
      <c r="R747">
        <v>56902.3</v>
      </c>
      <c r="S747">
        <v>37777.699999999997</v>
      </c>
      <c r="T747" t="s">
        <v>40</v>
      </c>
      <c r="U747" t="str">
        <f t="shared" si="33"/>
        <v>2025-05</v>
      </c>
      <c r="V747">
        <f t="shared" si="34"/>
        <v>5</v>
      </c>
      <c r="W747" s="2">
        <f t="shared" si="35"/>
        <v>0.3990040135192226</v>
      </c>
    </row>
    <row r="748" spans="1:23">
      <c r="A748" t="s">
        <v>1463</v>
      </c>
      <c r="B748" s="1">
        <v>45822</v>
      </c>
      <c r="C748" s="1">
        <v>45828</v>
      </c>
      <c r="D748" t="s">
        <v>302</v>
      </c>
      <c r="E748" t="s">
        <v>866</v>
      </c>
      <c r="F748" t="s">
        <v>35</v>
      </c>
      <c r="G748" t="s">
        <v>44</v>
      </c>
      <c r="H748" t="s">
        <v>45</v>
      </c>
      <c r="I748" t="s">
        <v>46</v>
      </c>
      <c r="J748" t="s">
        <v>47</v>
      </c>
      <c r="K748" t="s">
        <v>142</v>
      </c>
      <c r="L748" t="s">
        <v>143</v>
      </c>
      <c r="M748" t="s">
        <v>144</v>
      </c>
      <c r="N748">
        <v>1</v>
      </c>
      <c r="O748">
        <v>5512000</v>
      </c>
      <c r="P748">
        <v>0.25</v>
      </c>
      <c r="Q748">
        <v>4134000</v>
      </c>
      <c r="R748">
        <v>4248551.66</v>
      </c>
      <c r="S748">
        <v>-114551.66</v>
      </c>
      <c r="T748" t="s">
        <v>31</v>
      </c>
      <c r="U748" t="str">
        <f t="shared" si="33"/>
        <v>2025-06</v>
      </c>
      <c r="V748">
        <f t="shared" si="34"/>
        <v>6</v>
      </c>
      <c r="W748" s="2">
        <f t="shared" si="35"/>
        <v>-2.77096419932269E-2</v>
      </c>
    </row>
    <row r="749" spans="1:23">
      <c r="A749" t="s">
        <v>1464</v>
      </c>
      <c r="B749" s="1">
        <v>45957</v>
      </c>
      <c r="C749" s="1">
        <v>45962</v>
      </c>
      <c r="D749" t="s">
        <v>171</v>
      </c>
      <c r="E749" t="s">
        <v>917</v>
      </c>
      <c r="F749" t="s">
        <v>23</v>
      </c>
      <c r="G749" t="s">
        <v>169</v>
      </c>
      <c r="H749" t="s">
        <v>157</v>
      </c>
      <c r="I749" t="s">
        <v>57</v>
      </c>
      <c r="J749" t="s">
        <v>27</v>
      </c>
      <c r="K749" t="s">
        <v>179</v>
      </c>
      <c r="L749" t="s">
        <v>244</v>
      </c>
      <c r="M749" t="s">
        <v>245</v>
      </c>
      <c r="N749">
        <v>3</v>
      </c>
      <c r="O749">
        <v>35200</v>
      </c>
      <c r="P749">
        <v>0.2</v>
      </c>
      <c r="Q749">
        <v>84480</v>
      </c>
      <c r="R749">
        <v>56684.59</v>
      </c>
      <c r="S749">
        <v>27795.41</v>
      </c>
      <c r="T749" t="s">
        <v>40</v>
      </c>
      <c r="U749" t="str">
        <f t="shared" si="33"/>
        <v>2025-10</v>
      </c>
      <c r="V749">
        <f t="shared" si="34"/>
        <v>5</v>
      </c>
      <c r="W749" s="2">
        <f t="shared" si="35"/>
        <v>0.32901763731060607</v>
      </c>
    </row>
    <row r="750" spans="1:23">
      <c r="A750" t="s">
        <v>1465</v>
      </c>
      <c r="B750" s="1">
        <v>45877</v>
      </c>
      <c r="C750" s="1">
        <v>45881</v>
      </c>
      <c r="D750" t="s">
        <v>516</v>
      </c>
      <c r="E750" t="s">
        <v>730</v>
      </c>
      <c r="F750" t="s">
        <v>54</v>
      </c>
      <c r="G750" t="s">
        <v>140</v>
      </c>
      <c r="H750" t="s">
        <v>141</v>
      </c>
      <c r="I750" t="s">
        <v>46</v>
      </c>
      <c r="J750" t="s">
        <v>27</v>
      </c>
      <c r="K750" t="s">
        <v>116</v>
      </c>
      <c r="L750" t="s">
        <v>117</v>
      </c>
      <c r="M750" t="s">
        <v>118</v>
      </c>
      <c r="N750">
        <v>2</v>
      </c>
      <c r="O750">
        <v>25900</v>
      </c>
      <c r="P750">
        <v>0.1</v>
      </c>
      <c r="Q750">
        <v>46620</v>
      </c>
      <c r="R750">
        <v>25127.200000000001</v>
      </c>
      <c r="S750">
        <v>21492.799999999999</v>
      </c>
      <c r="T750" t="s">
        <v>73</v>
      </c>
      <c r="U750" t="str">
        <f t="shared" si="33"/>
        <v>2025-08</v>
      </c>
      <c r="V750">
        <f t="shared" si="34"/>
        <v>4</v>
      </c>
      <c r="W750" s="2">
        <f t="shared" si="35"/>
        <v>0.46102102102102099</v>
      </c>
    </row>
    <row r="751" spans="1:23">
      <c r="A751" t="s">
        <v>1466</v>
      </c>
      <c r="B751" s="1">
        <v>44935</v>
      </c>
      <c r="C751" s="1">
        <v>44939</v>
      </c>
      <c r="D751" t="s">
        <v>390</v>
      </c>
      <c r="E751" t="s">
        <v>514</v>
      </c>
      <c r="F751" t="s">
        <v>35</v>
      </c>
      <c r="G751" t="s">
        <v>80</v>
      </c>
      <c r="H751" t="s">
        <v>45</v>
      </c>
      <c r="I751" t="s">
        <v>46</v>
      </c>
      <c r="J751" t="s">
        <v>47</v>
      </c>
      <c r="K751" t="s">
        <v>142</v>
      </c>
      <c r="L751" t="s">
        <v>158</v>
      </c>
      <c r="M751" t="s">
        <v>159</v>
      </c>
      <c r="N751">
        <v>2</v>
      </c>
      <c r="O751">
        <v>9110300</v>
      </c>
      <c r="P751">
        <v>0.3</v>
      </c>
      <c r="Q751">
        <v>12754420</v>
      </c>
      <c r="R751">
        <v>13948264.23</v>
      </c>
      <c r="S751">
        <v>-1193844.23</v>
      </c>
      <c r="T751" t="s">
        <v>60</v>
      </c>
      <c r="U751" t="str">
        <f t="shared" si="33"/>
        <v>2023-01</v>
      </c>
      <c r="V751">
        <f t="shared" si="34"/>
        <v>4</v>
      </c>
      <c r="W751" s="2">
        <f t="shared" si="35"/>
        <v>-9.3602392739144544E-2</v>
      </c>
    </row>
    <row r="752" spans="1:23">
      <c r="A752" t="s">
        <v>1467</v>
      </c>
      <c r="B752" s="1">
        <v>45732</v>
      </c>
      <c r="C752" s="1">
        <v>45739</v>
      </c>
      <c r="D752" t="s">
        <v>278</v>
      </c>
      <c r="E752" t="s">
        <v>947</v>
      </c>
      <c r="F752" t="s">
        <v>54</v>
      </c>
      <c r="G752" t="s">
        <v>80</v>
      </c>
      <c r="H752" t="s">
        <v>45</v>
      </c>
      <c r="I752" t="s">
        <v>46</v>
      </c>
      <c r="J752" t="s">
        <v>47</v>
      </c>
      <c r="K752" t="s">
        <v>48</v>
      </c>
      <c r="L752" t="s">
        <v>225</v>
      </c>
      <c r="M752" t="s">
        <v>226</v>
      </c>
      <c r="N752">
        <v>10</v>
      </c>
      <c r="O752">
        <v>215800</v>
      </c>
      <c r="P752">
        <v>0.2</v>
      </c>
      <c r="Q752">
        <v>1726400</v>
      </c>
      <c r="R752">
        <v>1317130.1499999999</v>
      </c>
      <c r="S752">
        <v>409269.85</v>
      </c>
      <c r="T752" t="s">
        <v>40</v>
      </c>
      <c r="U752" t="str">
        <f t="shared" si="33"/>
        <v>2025-03</v>
      </c>
      <c r="V752">
        <f t="shared" si="34"/>
        <v>7</v>
      </c>
      <c r="W752" s="2">
        <f t="shared" si="35"/>
        <v>0.23706548308619091</v>
      </c>
    </row>
    <row r="753" spans="1:23">
      <c r="A753" t="s">
        <v>1468</v>
      </c>
      <c r="B753" s="1">
        <v>45185</v>
      </c>
      <c r="C753" s="1">
        <v>45190</v>
      </c>
      <c r="D753" t="s">
        <v>290</v>
      </c>
      <c r="E753" t="s">
        <v>1048</v>
      </c>
      <c r="F753" t="s">
        <v>54</v>
      </c>
      <c r="G753" t="s">
        <v>95</v>
      </c>
      <c r="H753" t="s">
        <v>96</v>
      </c>
      <c r="I753" t="s">
        <v>26</v>
      </c>
      <c r="J753" t="s">
        <v>47</v>
      </c>
      <c r="K753" t="s">
        <v>48</v>
      </c>
      <c r="L753" t="s">
        <v>225</v>
      </c>
      <c r="M753" t="s">
        <v>226</v>
      </c>
      <c r="N753">
        <v>8</v>
      </c>
      <c r="O753">
        <v>217300</v>
      </c>
      <c r="P753">
        <v>0</v>
      </c>
      <c r="Q753">
        <v>1738400</v>
      </c>
      <c r="R753">
        <v>1050200.19</v>
      </c>
      <c r="S753">
        <v>688199.81</v>
      </c>
      <c r="T753" t="s">
        <v>73</v>
      </c>
      <c r="U753" t="str">
        <f t="shared" si="33"/>
        <v>2023-09</v>
      </c>
      <c r="V753">
        <f t="shared" si="34"/>
        <v>5</v>
      </c>
      <c r="W753" s="2">
        <f t="shared" si="35"/>
        <v>0.39588116083755182</v>
      </c>
    </row>
    <row r="754" spans="1:23">
      <c r="A754" t="s">
        <v>1469</v>
      </c>
      <c r="B754" s="1">
        <v>45088</v>
      </c>
      <c r="C754" s="1">
        <v>45093</v>
      </c>
      <c r="D754" t="s">
        <v>548</v>
      </c>
      <c r="E754" t="s">
        <v>652</v>
      </c>
      <c r="F754" t="s">
        <v>54</v>
      </c>
      <c r="G754" t="s">
        <v>80</v>
      </c>
      <c r="H754" t="s">
        <v>45</v>
      </c>
      <c r="I754" t="s">
        <v>46</v>
      </c>
      <c r="J754" t="s">
        <v>36</v>
      </c>
      <c r="K754" t="s">
        <v>37</v>
      </c>
      <c r="L754" t="s">
        <v>58</v>
      </c>
      <c r="M754" t="s">
        <v>59</v>
      </c>
      <c r="N754">
        <v>1</v>
      </c>
      <c r="O754">
        <v>907900</v>
      </c>
      <c r="P754">
        <v>0</v>
      </c>
      <c r="Q754">
        <v>907900</v>
      </c>
      <c r="R754">
        <v>575498.32999999996</v>
      </c>
      <c r="S754">
        <v>332401.67</v>
      </c>
      <c r="T754" t="s">
        <v>60</v>
      </c>
      <c r="U754" t="str">
        <f t="shared" si="33"/>
        <v>2023-06</v>
      </c>
      <c r="V754">
        <f t="shared" si="34"/>
        <v>5</v>
      </c>
      <c r="W754" s="2">
        <f t="shared" si="35"/>
        <v>0.3661214561075008</v>
      </c>
    </row>
    <row r="755" spans="1:23">
      <c r="A755" t="s">
        <v>1470</v>
      </c>
      <c r="B755" s="1">
        <v>45701</v>
      </c>
      <c r="C755" s="1">
        <v>45708</v>
      </c>
      <c r="D755" t="s">
        <v>42</v>
      </c>
      <c r="E755" t="s">
        <v>605</v>
      </c>
      <c r="F755" t="s">
        <v>23</v>
      </c>
      <c r="G755" t="s">
        <v>95</v>
      </c>
      <c r="H755" t="s">
        <v>96</v>
      </c>
      <c r="I755" t="s">
        <v>26</v>
      </c>
      <c r="J755" t="s">
        <v>47</v>
      </c>
      <c r="K755" t="s">
        <v>142</v>
      </c>
      <c r="L755" t="s">
        <v>158</v>
      </c>
      <c r="M755" t="s">
        <v>159</v>
      </c>
      <c r="N755">
        <v>3</v>
      </c>
      <c r="O755">
        <v>8531600</v>
      </c>
      <c r="P755">
        <v>0.1</v>
      </c>
      <c r="Q755">
        <v>23035320</v>
      </c>
      <c r="R755">
        <v>19234152.039999999</v>
      </c>
      <c r="S755">
        <v>3801167.96</v>
      </c>
      <c r="T755" t="s">
        <v>73</v>
      </c>
      <c r="U755" t="str">
        <f t="shared" si="33"/>
        <v>2025-02</v>
      </c>
      <c r="V755">
        <f t="shared" si="34"/>
        <v>7</v>
      </c>
      <c r="W755" s="2">
        <f t="shared" si="35"/>
        <v>0.1650147668884131</v>
      </c>
    </row>
    <row r="756" spans="1:23">
      <c r="A756" t="s">
        <v>1471</v>
      </c>
      <c r="B756" s="1">
        <v>45178</v>
      </c>
      <c r="C756" s="1">
        <v>45179</v>
      </c>
      <c r="D756" t="s">
        <v>523</v>
      </c>
      <c r="E756" t="s">
        <v>270</v>
      </c>
      <c r="F756" t="s">
        <v>23</v>
      </c>
      <c r="G756" t="s">
        <v>80</v>
      </c>
      <c r="H756" t="s">
        <v>45</v>
      </c>
      <c r="I756" t="s">
        <v>46</v>
      </c>
      <c r="J756" t="s">
        <v>47</v>
      </c>
      <c r="K756" t="s">
        <v>48</v>
      </c>
      <c r="L756" t="s">
        <v>66</v>
      </c>
      <c r="M756" t="s">
        <v>67</v>
      </c>
      <c r="N756">
        <v>5</v>
      </c>
      <c r="O756">
        <v>137600</v>
      </c>
      <c r="P756">
        <v>0</v>
      </c>
      <c r="Q756">
        <v>688000</v>
      </c>
      <c r="R756">
        <v>384310.37</v>
      </c>
      <c r="S756">
        <v>303689.63</v>
      </c>
      <c r="T756" t="s">
        <v>40</v>
      </c>
      <c r="U756" t="str">
        <f t="shared" si="33"/>
        <v>2023-09</v>
      </c>
      <c r="V756">
        <f t="shared" si="34"/>
        <v>1</v>
      </c>
      <c r="W756" s="2">
        <f t="shared" si="35"/>
        <v>0.44140934593023257</v>
      </c>
    </row>
    <row r="757" spans="1:23">
      <c r="A757" t="s">
        <v>1472</v>
      </c>
      <c r="B757" s="1">
        <v>45923</v>
      </c>
      <c r="C757" s="1">
        <v>45929</v>
      </c>
      <c r="D757" t="s">
        <v>69</v>
      </c>
      <c r="E757" t="s">
        <v>1013</v>
      </c>
      <c r="F757" t="s">
        <v>54</v>
      </c>
      <c r="G757" t="s">
        <v>169</v>
      </c>
      <c r="H757" t="s">
        <v>157</v>
      </c>
      <c r="I757" t="s">
        <v>57</v>
      </c>
      <c r="J757" t="s">
        <v>47</v>
      </c>
      <c r="K757" t="s">
        <v>48</v>
      </c>
      <c r="L757" t="s">
        <v>225</v>
      </c>
      <c r="M757" t="s">
        <v>226</v>
      </c>
      <c r="N757">
        <v>4</v>
      </c>
      <c r="O757">
        <v>216100</v>
      </c>
      <c r="P757">
        <v>0</v>
      </c>
      <c r="Q757">
        <v>864400</v>
      </c>
      <c r="R757">
        <v>504754.98</v>
      </c>
      <c r="S757">
        <v>359645.02</v>
      </c>
      <c r="T757" t="s">
        <v>40</v>
      </c>
      <c r="U757" t="str">
        <f t="shared" si="33"/>
        <v>2025-09</v>
      </c>
      <c r="V757">
        <f t="shared" si="34"/>
        <v>6</v>
      </c>
      <c r="W757" s="2">
        <f t="shared" si="35"/>
        <v>0.41606318833873207</v>
      </c>
    </row>
    <row r="758" spans="1:23">
      <c r="A758" t="s">
        <v>1473</v>
      </c>
      <c r="B758" s="1">
        <v>45637</v>
      </c>
      <c r="C758" s="1">
        <v>45641</v>
      </c>
      <c r="D758" t="s">
        <v>290</v>
      </c>
      <c r="E758" t="s">
        <v>1137</v>
      </c>
      <c r="F758" t="s">
        <v>35</v>
      </c>
      <c r="G758" t="s">
        <v>80</v>
      </c>
      <c r="H758" t="s">
        <v>45</v>
      </c>
      <c r="I758" t="s">
        <v>46</v>
      </c>
      <c r="J758" t="s">
        <v>27</v>
      </c>
      <c r="K758" t="s">
        <v>100</v>
      </c>
      <c r="L758" t="s">
        <v>101</v>
      </c>
      <c r="M758" t="s">
        <v>102</v>
      </c>
      <c r="N758">
        <v>6</v>
      </c>
      <c r="O758">
        <v>54700</v>
      </c>
      <c r="P758">
        <v>0</v>
      </c>
      <c r="Q758">
        <v>328200</v>
      </c>
      <c r="R758">
        <v>172025.12</v>
      </c>
      <c r="S758">
        <v>156174.88</v>
      </c>
      <c r="T758" t="s">
        <v>60</v>
      </c>
      <c r="U758" t="str">
        <f t="shared" si="33"/>
        <v>2024-12</v>
      </c>
      <c r="V758">
        <f t="shared" si="34"/>
        <v>4</v>
      </c>
      <c r="W758" s="2">
        <f t="shared" si="35"/>
        <v>0.47585277269957343</v>
      </c>
    </row>
    <row r="759" spans="1:23">
      <c r="A759" t="s">
        <v>1474</v>
      </c>
      <c r="B759" s="1">
        <v>45674</v>
      </c>
      <c r="C759" s="1">
        <v>45675</v>
      </c>
      <c r="D759" t="s">
        <v>701</v>
      </c>
      <c r="E759" t="s">
        <v>178</v>
      </c>
      <c r="F759" t="s">
        <v>23</v>
      </c>
      <c r="G759" t="s">
        <v>156</v>
      </c>
      <c r="H759" t="s">
        <v>157</v>
      </c>
      <c r="I759" t="s">
        <v>57</v>
      </c>
      <c r="J759" t="s">
        <v>27</v>
      </c>
      <c r="K759" t="s">
        <v>100</v>
      </c>
      <c r="L759" t="s">
        <v>101</v>
      </c>
      <c r="M759" t="s">
        <v>102</v>
      </c>
      <c r="N759">
        <v>4</v>
      </c>
      <c r="O759">
        <v>64200</v>
      </c>
      <c r="P759">
        <v>0</v>
      </c>
      <c r="Q759">
        <v>256800</v>
      </c>
      <c r="R759">
        <v>143020.29</v>
      </c>
      <c r="S759">
        <v>113779.71</v>
      </c>
      <c r="T759" t="s">
        <v>31</v>
      </c>
      <c r="U759" t="str">
        <f t="shared" si="33"/>
        <v>2025-01</v>
      </c>
      <c r="V759">
        <f t="shared" si="34"/>
        <v>1</v>
      </c>
      <c r="W759" s="2">
        <f t="shared" si="35"/>
        <v>0.44306740654205612</v>
      </c>
    </row>
    <row r="760" spans="1:23">
      <c r="A760" t="s">
        <v>1475</v>
      </c>
      <c r="B760" s="1">
        <v>45529</v>
      </c>
      <c r="C760" s="1">
        <v>45533</v>
      </c>
      <c r="D760" t="s">
        <v>665</v>
      </c>
      <c r="E760" t="s">
        <v>521</v>
      </c>
      <c r="F760" t="s">
        <v>23</v>
      </c>
      <c r="G760" t="s">
        <v>169</v>
      </c>
      <c r="H760" t="s">
        <v>157</v>
      </c>
      <c r="I760" t="s">
        <v>57</v>
      </c>
      <c r="J760" t="s">
        <v>27</v>
      </c>
      <c r="K760" t="s">
        <v>116</v>
      </c>
      <c r="L760" t="s">
        <v>207</v>
      </c>
      <c r="M760" t="s">
        <v>208</v>
      </c>
      <c r="N760">
        <v>6</v>
      </c>
      <c r="O760">
        <v>109800</v>
      </c>
      <c r="P760">
        <v>0</v>
      </c>
      <c r="Q760">
        <v>658800</v>
      </c>
      <c r="R760">
        <v>398041.2</v>
      </c>
      <c r="S760">
        <v>260758.8</v>
      </c>
      <c r="T760" t="s">
        <v>40</v>
      </c>
      <c r="U760" t="str">
        <f t="shared" si="33"/>
        <v>2024-08</v>
      </c>
      <c r="V760">
        <f t="shared" si="34"/>
        <v>4</v>
      </c>
      <c r="W760" s="2">
        <f t="shared" si="35"/>
        <v>0.3958087431693989</v>
      </c>
    </row>
    <row r="761" spans="1:23">
      <c r="A761" t="s">
        <v>1476</v>
      </c>
      <c r="B761" s="1">
        <v>45565</v>
      </c>
      <c r="C761" s="1">
        <v>45567</v>
      </c>
      <c r="D761" t="s">
        <v>299</v>
      </c>
      <c r="E761" t="s">
        <v>973</v>
      </c>
      <c r="F761" t="s">
        <v>54</v>
      </c>
      <c r="G761" t="s">
        <v>169</v>
      </c>
      <c r="H761" t="s">
        <v>157</v>
      </c>
      <c r="I761" t="s">
        <v>57</v>
      </c>
      <c r="J761" t="s">
        <v>27</v>
      </c>
      <c r="K761" t="s">
        <v>116</v>
      </c>
      <c r="L761" t="s">
        <v>207</v>
      </c>
      <c r="M761" t="s">
        <v>208</v>
      </c>
      <c r="N761">
        <v>3</v>
      </c>
      <c r="O761">
        <v>110400</v>
      </c>
      <c r="P761">
        <v>0</v>
      </c>
      <c r="Q761">
        <v>331200</v>
      </c>
      <c r="R761">
        <v>181984.51</v>
      </c>
      <c r="S761">
        <v>149215.49</v>
      </c>
      <c r="T761" t="s">
        <v>40</v>
      </c>
      <c r="U761" t="str">
        <f t="shared" si="33"/>
        <v>2024-09</v>
      </c>
      <c r="V761">
        <f t="shared" si="34"/>
        <v>2</v>
      </c>
      <c r="W761" s="2">
        <f t="shared" si="35"/>
        <v>0.4505298611111111</v>
      </c>
    </row>
    <row r="762" spans="1:23">
      <c r="A762" t="s">
        <v>1477</v>
      </c>
      <c r="B762" s="1">
        <v>45649</v>
      </c>
      <c r="C762" s="1">
        <v>45652</v>
      </c>
      <c r="D762" t="s">
        <v>380</v>
      </c>
      <c r="E762" t="s">
        <v>1478</v>
      </c>
      <c r="F762" t="s">
        <v>23</v>
      </c>
      <c r="G762" t="s">
        <v>64</v>
      </c>
      <c r="H762" t="s">
        <v>65</v>
      </c>
      <c r="I762" t="s">
        <v>57</v>
      </c>
      <c r="J762" t="s">
        <v>27</v>
      </c>
      <c r="K762" t="s">
        <v>100</v>
      </c>
      <c r="L762" t="s">
        <v>105</v>
      </c>
      <c r="M762" t="s">
        <v>106</v>
      </c>
      <c r="N762">
        <v>8</v>
      </c>
      <c r="O762">
        <v>72600</v>
      </c>
      <c r="P762">
        <v>0.05</v>
      </c>
      <c r="Q762">
        <v>551760</v>
      </c>
      <c r="R762">
        <v>346466.2</v>
      </c>
      <c r="S762">
        <v>205293.8</v>
      </c>
      <c r="T762" t="s">
        <v>31</v>
      </c>
      <c r="U762" t="str">
        <f t="shared" si="33"/>
        <v>2024-12</v>
      </c>
      <c r="V762">
        <f t="shared" si="34"/>
        <v>3</v>
      </c>
      <c r="W762" s="2">
        <f t="shared" si="35"/>
        <v>0.37207082789618673</v>
      </c>
    </row>
    <row r="763" spans="1:23">
      <c r="A763" t="s">
        <v>1479</v>
      </c>
      <c r="B763" s="1">
        <v>45161</v>
      </c>
      <c r="C763" s="1">
        <v>45163</v>
      </c>
      <c r="D763" t="s">
        <v>662</v>
      </c>
      <c r="E763" t="s">
        <v>1480</v>
      </c>
      <c r="F763" t="s">
        <v>23</v>
      </c>
      <c r="G763" t="s">
        <v>80</v>
      </c>
      <c r="H763" t="s">
        <v>45</v>
      </c>
      <c r="I763" t="s">
        <v>46</v>
      </c>
      <c r="J763" t="s">
        <v>27</v>
      </c>
      <c r="K763" t="s">
        <v>116</v>
      </c>
      <c r="L763" t="s">
        <v>117</v>
      </c>
      <c r="M763" t="s">
        <v>118</v>
      </c>
      <c r="N763">
        <v>1</v>
      </c>
      <c r="O763">
        <v>26500</v>
      </c>
      <c r="P763">
        <v>0</v>
      </c>
      <c r="Q763">
        <v>26500</v>
      </c>
      <c r="R763">
        <v>12866.56</v>
      </c>
      <c r="S763">
        <v>13633.44</v>
      </c>
      <c r="T763" t="s">
        <v>31</v>
      </c>
      <c r="U763" t="str">
        <f t="shared" si="33"/>
        <v>2023-08</v>
      </c>
      <c r="V763">
        <f t="shared" si="34"/>
        <v>2</v>
      </c>
      <c r="W763" s="2">
        <f t="shared" si="35"/>
        <v>0.51446943396226419</v>
      </c>
    </row>
    <row r="764" spans="1:23">
      <c r="A764" t="s">
        <v>1481</v>
      </c>
      <c r="B764" s="1">
        <v>44949</v>
      </c>
      <c r="C764" s="1">
        <v>44955</v>
      </c>
      <c r="D764" t="s">
        <v>405</v>
      </c>
      <c r="E764" t="s">
        <v>432</v>
      </c>
      <c r="F764" t="s">
        <v>35</v>
      </c>
      <c r="G764" t="s">
        <v>55</v>
      </c>
      <c r="H764" t="s">
        <v>56</v>
      </c>
      <c r="I764" t="s">
        <v>57</v>
      </c>
      <c r="J764" t="s">
        <v>47</v>
      </c>
      <c r="K764" t="s">
        <v>128</v>
      </c>
      <c r="L764" t="s">
        <v>129</v>
      </c>
      <c r="M764" t="s">
        <v>130</v>
      </c>
      <c r="N764">
        <v>3</v>
      </c>
      <c r="O764">
        <v>1428000</v>
      </c>
      <c r="P764">
        <v>0.1</v>
      </c>
      <c r="Q764">
        <v>3855600</v>
      </c>
      <c r="R764">
        <v>3141678.93</v>
      </c>
      <c r="S764">
        <v>713921.07</v>
      </c>
      <c r="T764" t="s">
        <v>73</v>
      </c>
      <c r="U764" t="str">
        <f t="shared" si="33"/>
        <v>2023-01</v>
      </c>
      <c r="V764">
        <f t="shared" si="34"/>
        <v>6</v>
      </c>
      <c r="W764" s="2">
        <f t="shared" si="35"/>
        <v>0.18516471366324305</v>
      </c>
    </row>
    <row r="765" spans="1:23">
      <c r="A765" t="s">
        <v>1482</v>
      </c>
      <c r="B765" s="1">
        <v>45080</v>
      </c>
      <c r="C765" s="1">
        <v>45085</v>
      </c>
      <c r="D765" t="s">
        <v>837</v>
      </c>
      <c r="E765" t="s">
        <v>270</v>
      </c>
      <c r="F765" t="s">
        <v>23</v>
      </c>
      <c r="G765" t="s">
        <v>169</v>
      </c>
      <c r="H765" t="s">
        <v>157</v>
      </c>
      <c r="I765" t="s">
        <v>57</v>
      </c>
      <c r="J765" t="s">
        <v>27</v>
      </c>
      <c r="K765" t="s">
        <v>116</v>
      </c>
      <c r="L765" t="s">
        <v>117</v>
      </c>
      <c r="M765" t="s">
        <v>118</v>
      </c>
      <c r="N765">
        <v>1</v>
      </c>
      <c r="O765">
        <v>24600</v>
      </c>
      <c r="P765">
        <v>0.05</v>
      </c>
      <c r="Q765">
        <v>23370</v>
      </c>
      <c r="R765">
        <v>11524.62</v>
      </c>
      <c r="S765">
        <v>11845.38</v>
      </c>
      <c r="T765" t="s">
        <v>60</v>
      </c>
      <c r="U765" t="str">
        <f t="shared" si="33"/>
        <v>2023-06</v>
      </c>
      <c r="V765">
        <f t="shared" si="34"/>
        <v>5</v>
      </c>
      <c r="W765" s="2">
        <f t="shared" si="35"/>
        <v>0.50686264441591777</v>
      </c>
    </row>
    <row r="766" spans="1:23">
      <c r="A766" t="s">
        <v>1483</v>
      </c>
      <c r="B766" s="1">
        <v>45181</v>
      </c>
      <c r="C766" s="1">
        <v>45185</v>
      </c>
      <c r="D766" t="s">
        <v>284</v>
      </c>
      <c r="E766" t="s">
        <v>1484</v>
      </c>
      <c r="F766" t="s">
        <v>23</v>
      </c>
      <c r="G766" t="s">
        <v>55</v>
      </c>
      <c r="H766" t="s">
        <v>56</v>
      </c>
      <c r="I766" t="s">
        <v>57</v>
      </c>
      <c r="J766" t="s">
        <v>47</v>
      </c>
      <c r="K766" t="s">
        <v>48</v>
      </c>
      <c r="L766" t="s">
        <v>49</v>
      </c>
      <c r="M766" t="s">
        <v>50</v>
      </c>
      <c r="N766">
        <v>1</v>
      </c>
      <c r="O766">
        <v>505200</v>
      </c>
      <c r="P766">
        <v>0.2</v>
      </c>
      <c r="Q766">
        <v>404160</v>
      </c>
      <c r="R766">
        <v>337791.45</v>
      </c>
      <c r="S766">
        <v>66368.55</v>
      </c>
      <c r="T766" t="s">
        <v>31</v>
      </c>
      <c r="U766" t="str">
        <f t="shared" si="33"/>
        <v>2023-09</v>
      </c>
      <c r="V766">
        <f t="shared" si="34"/>
        <v>4</v>
      </c>
      <c r="W766" s="2">
        <f t="shared" si="35"/>
        <v>0.16421355403800475</v>
      </c>
    </row>
    <row r="767" spans="1:23">
      <c r="A767" t="s">
        <v>1485</v>
      </c>
      <c r="B767" s="1">
        <v>45751</v>
      </c>
      <c r="C767" s="1">
        <v>45752</v>
      </c>
      <c r="D767" t="s">
        <v>686</v>
      </c>
      <c r="E767" t="s">
        <v>1355</v>
      </c>
      <c r="F767" t="s">
        <v>35</v>
      </c>
      <c r="G767" t="s">
        <v>156</v>
      </c>
      <c r="H767" t="s">
        <v>157</v>
      </c>
      <c r="I767" t="s">
        <v>57</v>
      </c>
      <c r="J767" t="s">
        <v>27</v>
      </c>
      <c r="K767" t="s">
        <v>100</v>
      </c>
      <c r="L767" t="s">
        <v>101</v>
      </c>
      <c r="M767" t="s">
        <v>102</v>
      </c>
      <c r="N767">
        <v>2</v>
      </c>
      <c r="O767">
        <v>62800</v>
      </c>
      <c r="P767">
        <v>0.05</v>
      </c>
      <c r="Q767">
        <v>119320</v>
      </c>
      <c r="R767">
        <v>68329.08</v>
      </c>
      <c r="S767">
        <v>50990.92</v>
      </c>
      <c r="T767" t="s">
        <v>31</v>
      </c>
      <c r="U767" t="str">
        <f t="shared" si="33"/>
        <v>2025-04</v>
      </c>
      <c r="V767">
        <f t="shared" si="34"/>
        <v>1</v>
      </c>
      <c r="W767" s="2">
        <f t="shared" si="35"/>
        <v>0.42734596044250756</v>
      </c>
    </row>
    <row r="768" spans="1:23">
      <c r="A768" t="s">
        <v>1486</v>
      </c>
      <c r="B768" s="1">
        <v>45746</v>
      </c>
      <c r="C768" s="1">
        <v>45747</v>
      </c>
      <c r="D768" t="s">
        <v>462</v>
      </c>
      <c r="E768" t="s">
        <v>927</v>
      </c>
      <c r="F768" t="s">
        <v>35</v>
      </c>
      <c r="G768" t="s">
        <v>64</v>
      </c>
      <c r="H768" t="s">
        <v>65</v>
      </c>
      <c r="I768" t="s">
        <v>57</v>
      </c>
      <c r="J768" t="s">
        <v>36</v>
      </c>
      <c r="K768" t="s">
        <v>89</v>
      </c>
      <c r="L768" t="s">
        <v>151</v>
      </c>
      <c r="M768" t="s">
        <v>152</v>
      </c>
      <c r="N768">
        <v>1</v>
      </c>
      <c r="O768">
        <v>1395600</v>
      </c>
      <c r="P768">
        <v>0.05</v>
      </c>
      <c r="Q768">
        <v>1325820</v>
      </c>
      <c r="R768">
        <v>966229.09</v>
      </c>
      <c r="S768">
        <v>359590.91</v>
      </c>
      <c r="T768" t="s">
        <v>40</v>
      </c>
      <c r="U768" t="str">
        <f t="shared" si="33"/>
        <v>2025-03</v>
      </c>
      <c r="V768">
        <f t="shared" si="34"/>
        <v>1</v>
      </c>
      <c r="W768" s="2">
        <f t="shared" si="35"/>
        <v>0.27122151574120168</v>
      </c>
    </row>
    <row r="769" spans="1:23">
      <c r="A769" t="s">
        <v>1487</v>
      </c>
      <c r="B769" s="1">
        <v>45137</v>
      </c>
      <c r="C769" s="1">
        <v>45138</v>
      </c>
      <c r="D769" t="s">
        <v>250</v>
      </c>
      <c r="E769" t="s">
        <v>454</v>
      </c>
      <c r="F769" t="s">
        <v>23</v>
      </c>
      <c r="G769" t="s">
        <v>80</v>
      </c>
      <c r="H769" t="s">
        <v>45</v>
      </c>
      <c r="I769" t="s">
        <v>46</v>
      </c>
      <c r="J769" t="s">
        <v>47</v>
      </c>
      <c r="K769" t="s">
        <v>142</v>
      </c>
      <c r="L769" t="s">
        <v>158</v>
      </c>
      <c r="M769" t="s">
        <v>159</v>
      </c>
      <c r="N769">
        <v>5</v>
      </c>
      <c r="O769">
        <v>8686600</v>
      </c>
      <c r="P769">
        <v>0</v>
      </c>
      <c r="Q769">
        <v>43433000</v>
      </c>
      <c r="R769">
        <v>32571487.98</v>
      </c>
      <c r="S769">
        <v>10861512.02</v>
      </c>
      <c r="T769" t="s">
        <v>60</v>
      </c>
      <c r="U769" t="str">
        <f t="shared" si="33"/>
        <v>2023-07</v>
      </c>
      <c r="V769">
        <f t="shared" si="34"/>
        <v>1</v>
      </c>
      <c r="W769" s="2">
        <f t="shared" si="35"/>
        <v>0.25007510464393434</v>
      </c>
    </row>
    <row r="770" spans="1:23">
      <c r="A770" t="s">
        <v>1488</v>
      </c>
      <c r="B770" s="1">
        <v>44937</v>
      </c>
      <c r="C770" s="1">
        <v>44943</v>
      </c>
      <c r="D770" t="s">
        <v>972</v>
      </c>
      <c r="E770" t="s">
        <v>482</v>
      </c>
      <c r="F770" t="s">
        <v>23</v>
      </c>
      <c r="G770" t="s">
        <v>140</v>
      </c>
      <c r="H770" t="s">
        <v>141</v>
      </c>
      <c r="I770" t="s">
        <v>46</v>
      </c>
      <c r="J770" t="s">
        <v>27</v>
      </c>
      <c r="K770" t="s">
        <v>179</v>
      </c>
      <c r="L770" t="s">
        <v>244</v>
      </c>
      <c r="M770" t="s">
        <v>245</v>
      </c>
      <c r="N770">
        <v>1</v>
      </c>
      <c r="O770">
        <v>37000</v>
      </c>
      <c r="P770">
        <v>0.1</v>
      </c>
      <c r="Q770">
        <v>33300</v>
      </c>
      <c r="R770">
        <v>19529.03</v>
      </c>
      <c r="S770">
        <v>13770.97</v>
      </c>
      <c r="T770" t="s">
        <v>60</v>
      </c>
      <c r="U770" t="str">
        <f t="shared" si="33"/>
        <v>2023-01</v>
      </c>
      <c r="V770">
        <f t="shared" si="34"/>
        <v>6</v>
      </c>
      <c r="W770" s="2">
        <f t="shared" si="35"/>
        <v>0.41354264264264262</v>
      </c>
    </row>
    <row r="771" spans="1:23">
      <c r="A771" t="s">
        <v>1489</v>
      </c>
      <c r="B771" s="1">
        <v>45209</v>
      </c>
      <c r="C771" s="1">
        <v>45214</v>
      </c>
      <c r="D771" t="s">
        <v>970</v>
      </c>
      <c r="E771" t="s">
        <v>932</v>
      </c>
      <c r="F771" t="s">
        <v>54</v>
      </c>
      <c r="G771" t="s">
        <v>156</v>
      </c>
      <c r="H771" t="s">
        <v>157</v>
      </c>
      <c r="I771" t="s">
        <v>57</v>
      </c>
      <c r="J771" t="s">
        <v>36</v>
      </c>
      <c r="K771" t="s">
        <v>81</v>
      </c>
      <c r="L771" t="s">
        <v>82</v>
      </c>
      <c r="M771" t="s">
        <v>83</v>
      </c>
      <c r="N771">
        <v>3</v>
      </c>
      <c r="O771">
        <v>680600</v>
      </c>
      <c r="P771">
        <v>0.1</v>
      </c>
      <c r="Q771">
        <v>1837620</v>
      </c>
      <c r="R771">
        <v>1282273.98</v>
      </c>
      <c r="S771">
        <v>555346.02</v>
      </c>
      <c r="T771" t="s">
        <v>40</v>
      </c>
      <c r="U771" t="str">
        <f t="shared" ref="U771:U834" si="36">TEXT(B771,"yyyy-mm")</f>
        <v>2023-10</v>
      </c>
      <c r="V771">
        <f t="shared" ref="V771:V834" si="37">C771-B771</f>
        <v>5</v>
      </c>
      <c r="W771" s="2">
        <f t="shared" ref="W771:W834" si="38">IF(Q771=0,0,S771/Q771)</f>
        <v>0.30220939040715711</v>
      </c>
    </row>
    <row r="772" spans="1:23">
      <c r="A772" t="s">
        <v>1490</v>
      </c>
      <c r="B772" s="1">
        <v>45501</v>
      </c>
      <c r="C772" s="1">
        <v>45504</v>
      </c>
      <c r="D772" t="s">
        <v>339</v>
      </c>
      <c r="E772" t="s">
        <v>509</v>
      </c>
      <c r="F772" t="s">
        <v>23</v>
      </c>
      <c r="G772" t="s">
        <v>24</v>
      </c>
      <c r="H772" t="s">
        <v>25</v>
      </c>
      <c r="I772" t="s">
        <v>26</v>
      </c>
      <c r="J772" t="s">
        <v>27</v>
      </c>
      <c r="K772" t="s">
        <v>116</v>
      </c>
      <c r="L772" t="s">
        <v>207</v>
      </c>
      <c r="M772" t="s">
        <v>208</v>
      </c>
      <c r="N772">
        <v>4</v>
      </c>
      <c r="O772">
        <v>112400</v>
      </c>
      <c r="P772">
        <v>0.2</v>
      </c>
      <c r="Q772">
        <v>359680</v>
      </c>
      <c r="R772">
        <v>251533.25</v>
      </c>
      <c r="S772">
        <v>108146.75</v>
      </c>
      <c r="T772" t="s">
        <v>60</v>
      </c>
      <c r="U772" t="str">
        <f t="shared" si="36"/>
        <v>2024-07</v>
      </c>
      <c r="V772">
        <f t="shared" si="37"/>
        <v>3</v>
      </c>
      <c r="W772" s="2">
        <f t="shared" si="38"/>
        <v>0.30067490547153025</v>
      </c>
    </row>
    <row r="773" spans="1:23">
      <c r="A773" t="s">
        <v>1491</v>
      </c>
      <c r="B773" s="1">
        <v>45080</v>
      </c>
      <c r="C773" s="1">
        <v>45084</v>
      </c>
      <c r="D773" t="s">
        <v>464</v>
      </c>
      <c r="E773" t="s">
        <v>950</v>
      </c>
      <c r="F773" t="s">
        <v>23</v>
      </c>
      <c r="G773" t="s">
        <v>24</v>
      </c>
      <c r="H773" t="s">
        <v>25</v>
      </c>
      <c r="I773" t="s">
        <v>26</v>
      </c>
      <c r="J773" t="s">
        <v>47</v>
      </c>
      <c r="K773" t="s">
        <v>142</v>
      </c>
      <c r="L773" t="s">
        <v>158</v>
      </c>
      <c r="M773" t="s">
        <v>159</v>
      </c>
      <c r="N773">
        <v>1</v>
      </c>
      <c r="O773">
        <v>7568600</v>
      </c>
      <c r="P773">
        <v>0</v>
      </c>
      <c r="Q773">
        <v>7568600</v>
      </c>
      <c r="R773">
        <v>6061533.1200000001</v>
      </c>
      <c r="S773">
        <v>1507066.8799999999</v>
      </c>
      <c r="T773" t="s">
        <v>40</v>
      </c>
      <c r="U773" t="str">
        <f t="shared" si="36"/>
        <v>2023-06</v>
      </c>
      <c r="V773">
        <f t="shared" si="37"/>
        <v>4</v>
      </c>
      <c r="W773" s="2">
        <f t="shared" si="38"/>
        <v>0.199120957640779</v>
      </c>
    </row>
    <row r="774" spans="1:23">
      <c r="A774" t="s">
        <v>1492</v>
      </c>
      <c r="B774" s="1">
        <v>45856</v>
      </c>
      <c r="C774" s="1">
        <v>45862</v>
      </c>
      <c r="D774" t="s">
        <v>429</v>
      </c>
      <c r="E774" t="s">
        <v>704</v>
      </c>
      <c r="F774" t="s">
        <v>23</v>
      </c>
      <c r="G774" t="s">
        <v>80</v>
      </c>
      <c r="H774" t="s">
        <v>45</v>
      </c>
      <c r="I774" t="s">
        <v>46</v>
      </c>
      <c r="J774" t="s">
        <v>47</v>
      </c>
      <c r="K774" t="s">
        <v>142</v>
      </c>
      <c r="L774" t="s">
        <v>143</v>
      </c>
      <c r="M774" t="s">
        <v>144</v>
      </c>
      <c r="N774">
        <v>2</v>
      </c>
      <c r="O774">
        <v>6097200</v>
      </c>
      <c r="P774">
        <v>0.1</v>
      </c>
      <c r="Q774">
        <v>10974960</v>
      </c>
      <c r="R774">
        <v>9525218.4600000009</v>
      </c>
      <c r="S774">
        <v>1449741.54</v>
      </c>
      <c r="T774" t="s">
        <v>60</v>
      </c>
      <c r="U774" t="str">
        <f t="shared" si="36"/>
        <v>2025-07</v>
      </c>
      <c r="V774">
        <f t="shared" si="37"/>
        <v>6</v>
      </c>
      <c r="W774" s="2">
        <f t="shared" si="38"/>
        <v>0.13209538257998207</v>
      </c>
    </row>
    <row r="775" spans="1:23">
      <c r="A775" t="s">
        <v>1493</v>
      </c>
      <c r="B775" s="1">
        <v>45496</v>
      </c>
      <c r="C775" s="1">
        <v>45500</v>
      </c>
      <c r="D775" t="s">
        <v>42</v>
      </c>
      <c r="E775" t="s">
        <v>1018</v>
      </c>
      <c r="F775" t="s">
        <v>35</v>
      </c>
      <c r="G775" t="s">
        <v>55</v>
      </c>
      <c r="H775" t="s">
        <v>56</v>
      </c>
      <c r="I775" t="s">
        <v>57</v>
      </c>
      <c r="J775" t="s">
        <v>47</v>
      </c>
      <c r="K775" t="s">
        <v>48</v>
      </c>
      <c r="L775" t="s">
        <v>66</v>
      </c>
      <c r="M775" t="s">
        <v>67</v>
      </c>
      <c r="N775">
        <v>2</v>
      </c>
      <c r="O775">
        <v>115400</v>
      </c>
      <c r="P775">
        <v>0</v>
      </c>
      <c r="Q775">
        <v>230800</v>
      </c>
      <c r="R775">
        <v>127459.47</v>
      </c>
      <c r="S775">
        <v>103340.53</v>
      </c>
      <c r="T775" t="s">
        <v>73</v>
      </c>
      <c r="U775" t="str">
        <f t="shared" si="36"/>
        <v>2024-07</v>
      </c>
      <c r="V775">
        <f t="shared" si="37"/>
        <v>4</v>
      </c>
      <c r="W775" s="2">
        <f t="shared" si="38"/>
        <v>0.44774926343154248</v>
      </c>
    </row>
    <row r="776" spans="1:23">
      <c r="A776" t="s">
        <v>1494</v>
      </c>
      <c r="B776" s="1">
        <v>44985</v>
      </c>
      <c r="C776" s="1">
        <v>44989</v>
      </c>
      <c r="D776" t="s">
        <v>1170</v>
      </c>
      <c r="E776" t="s">
        <v>345</v>
      </c>
      <c r="F776" t="s">
        <v>23</v>
      </c>
      <c r="G776" t="s">
        <v>156</v>
      </c>
      <c r="H776" t="s">
        <v>157</v>
      </c>
      <c r="I776" t="s">
        <v>57</v>
      </c>
      <c r="J776" t="s">
        <v>27</v>
      </c>
      <c r="K776" t="s">
        <v>116</v>
      </c>
      <c r="L776" t="s">
        <v>207</v>
      </c>
      <c r="M776" t="s">
        <v>208</v>
      </c>
      <c r="N776">
        <v>2</v>
      </c>
      <c r="O776">
        <v>108900</v>
      </c>
      <c r="P776">
        <v>0.05</v>
      </c>
      <c r="Q776">
        <v>206910</v>
      </c>
      <c r="R776">
        <v>124892.15</v>
      </c>
      <c r="S776">
        <v>82017.850000000006</v>
      </c>
      <c r="T776" t="s">
        <v>31</v>
      </c>
      <c r="U776" t="str">
        <f t="shared" si="36"/>
        <v>2023-02</v>
      </c>
      <c r="V776">
        <f t="shared" si="37"/>
        <v>4</v>
      </c>
      <c r="W776" s="2">
        <f t="shared" si="38"/>
        <v>0.39639384273355566</v>
      </c>
    </row>
    <row r="777" spans="1:23">
      <c r="A777" t="s">
        <v>1495</v>
      </c>
      <c r="B777" s="1">
        <v>45485</v>
      </c>
      <c r="C777" s="1">
        <v>45488</v>
      </c>
      <c r="D777" t="s">
        <v>1272</v>
      </c>
      <c r="E777" t="s">
        <v>342</v>
      </c>
      <c r="F777" t="s">
        <v>23</v>
      </c>
      <c r="G777" t="s">
        <v>169</v>
      </c>
      <c r="H777" t="s">
        <v>157</v>
      </c>
      <c r="I777" t="s">
        <v>57</v>
      </c>
      <c r="J777" t="s">
        <v>47</v>
      </c>
      <c r="K777" t="s">
        <v>48</v>
      </c>
      <c r="L777" t="s">
        <v>225</v>
      </c>
      <c r="M777" t="s">
        <v>226</v>
      </c>
      <c r="N777">
        <v>2</v>
      </c>
      <c r="O777">
        <v>237100</v>
      </c>
      <c r="P777">
        <v>0.1</v>
      </c>
      <c r="Q777">
        <v>426780</v>
      </c>
      <c r="R777">
        <v>288551.67999999999</v>
      </c>
      <c r="S777">
        <v>138228.32</v>
      </c>
      <c r="T777" t="s">
        <v>73</v>
      </c>
      <c r="U777" t="str">
        <f t="shared" si="36"/>
        <v>2024-07</v>
      </c>
      <c r="V777">
        <f t="shared" si="37"/>
        <v>3</v>
      </c>
      <c r="W777" s="2">
        <f t="shared" si="38"/>
        <v>0.32388659262383429</v>
      </c>
    </row>
    <row r="778" spans="1:23">
      <c r="A778" t="s">
        <v>1496</v>
      </c>
      <c r="B778" s="1">
        <v>45029</v>
      </c>
      <c r="C778" s="1">
        <v>45035</v>
      </c>
      <c r="D778" t="s">
        <v>218</v>
      </c>
      <c r="E778" t="s">
        <v>363</v>
      </c>
      <c r="F778" t="s">
        <v>23</v>
      </c>
      <c r="G778" t="s">
        <v>24</v>
      </c>
      <c r="H778" t="s">
        <v>25</v>
      </c>
      <c r="I778" t="s">
        <v>26</v>
      </c>
      <c r="J778" t="s">
        <v>47</v>
      </c>
      <c r="K778" t="s">
        <v>142</v>
      </c>
      <c r="L778" t="s">
        <v>143</v>
      </c>
      <c r="M778" t="s">
        <v>144</v>
      </c>
      <c r="N778">
        <v>3</v>
      </c>
      <c r="O778">
        <v>5810400</v>
      </c>
      <c r="P778">
        <v>0.1</v>
      </c>
      <c r="Q778">
        <v>15688080</v>
      </c>
      <c r="R778">
        <v>13747077.279999999</v>
      </c>
      <c r="S778">
        <v>1941002.72</v>
      </c>
      <c r="T778" t="s">
        <v>31</v>
      </c>
      <c r="U778" t="str">
        <f t="shared" si="36"/>
        <v>2023-04</v>
      </c>
      <c r="V778">
        <f t="shared" si="37"/>
        <v>6</v>
      </c>
      <c r="W778" s="2">
        <f t="shared" si="38"/>
        <v>0.12372468268902249</v>
      </c>
    </row>
    <row r="779" spans="1:23">
      <c r="A779" t="s">
        <v>1497</v>
      </c>
      <c r="B779" s="1">
        <v>45134</v>
      </c>
      <c r="C779" s="1">
        <v>45136</v>
      </c>
      <c r="D779" t="s">
        <v>618</v>
      </c>
      <c r="E779" t="s">
        <v>1498</v>
      </c>
      <c r="F779" t="s">
        <v>23</v>
      </c>
      <c r="G779" t="s">
        <v>64</v>
      </c>
      <c r="H779" t="s">
        <v>65</v>
      </c>
      <c r="I779" t="s">
        <v>57</v>
      </c>
      <c r="J779" t="s">
        <v>27</v>
      </c>
      <c r="K779" t="s">
        <v>179</v>
      </c>
      <c r="L779" t="s">
        <v>244</v>
      </c>
      <c r="M779" t="s">
        <v>245</v>
      </c>
      <c r="N779">
        <v>2</v>
      </c>
      <c r="O779">
        <v>36600</v>
      </c>
      <c r="P779">
        <v>0.1</v>
      </c>
      <c r="Q779">
        <v>65880</v>
      </c>
      <c r="R779">
        <v>38261.81</v>
      </c>
      <c r="S779">
        <v>27618.19</v>
      </c>
      <c r="T779" t="s">
        <v>73</v>
      </c>
      <c r="U779" t="str">
        <f t="shared" si="36"/>
        <v>2023-07</v>
      </c>
      <c r="V779">
        <f t="shared" si="37"/>
        <v>2</v>
      </c>
      <c r="W779" s="2">
        <f t="shared" si="38"/>
        <v>0.41921964177292043</v>
      </c>
    </row>
    <row r="780" spans="1:23">
      <c r="A780" t="s">
        <v>1499</v>
      </c>
      <c r="B780" s="1">
        <v>45903</v>
      </c>
      <c r="C780" s="1">
        <v>45909</v>
      </c>
      <c r="D780" t="s">
        <v>351</v>
      </c>
      <c r="E780" t="s">
        <v>1070</v>
      </c>
      <c r="F780" t="s">
        <v>23</v>
      </c>
      <c r="G780" t="s">
        <v>80</v>
      </c>
      <c r="H780" t="s">
        <v>45</v>
      </c>
      <c r="I780" t="s">
        <v>46</v>
      </c>
      <c r="J780" t="s">
        <v>47</v>
      </c>
      <c r="K780" t="s">
        <v>173</v>
      </c>
      <c r="L780" t="s">
        <v>174</v>
      </c>
      <c r="M780" t="s">
        <v>175</v>
      </c>
      <c r="N780">
        <v>1</v>
      </c>
      <c r="O780">
        <v>4573400</v>
      </c>
      <c r="P780">
        <v>0.05</v>
      </c>
      <c r="Q780">
        <v>4344730</v>
      </c>
      <c r="R780">
        <v>3687617.92</v>
      </c>
      <c r="S780">
        <v>657112.07999999996</v>
      </c>
      <c r="T780" t="s">
        <v>31</v>
      </c>
      <c r="U780" t="str">
        <f t="shared" si="36"/>
        <v>2025-09</v>
      </c>
      <c r="V780">
        <f t="shared" si="37"/>
        <v>6</v>
      </c>
      <c r="W780" s="2">
        <f t="shared" si="38"/>
        <v>0.15124347888131137</v>
      </c>
    </row>
    <row r="781" spans="1:23">
      <c r="A781" t="s">
        <v>1500</v>
      </c>
      <c r="B781" s="1">
        <v>44969</v>
      </c>
      <c r="C781" s="1">
        <v>44971</v>
      </c>
      <c r="D781" t="s">
        <v>908</v>
      </c>
      <c r="E781" t="s">
        <v>597</v>
      </c>
      <c r="F781" t="s">
        <v>35</v>
      </c>
      <c r="G781" t="s">
        <v>80</v>
      </c>
      <c r="H781" t="s">
        <v>45</v>
      </c>
      <c r="I781" t="s">
        <v>46</v>
      </c>
      <c r="J781" t="s">
        <v>27</v>
      </c>
      <c r="K781" t="s">
        <v>100</v>
      </c>
      <c r="L781" t="s">
        <v>105</v>
      </c>
      <c r="M781" t="s">
        <v>106</v>
      </c>
      <c r="N781">
        <v>3</v>
      </c>
      <c r="O781">
        <v>84600</v>
      </c>
      <c r="P781">
        <v>0.1</v>
      </c>
      <c r="Q781">
        <v>228420</v>
      </c>
      <c r="R781">
        <v>149188.29999999999</v>
      </c>
      <c r="S781">
        <v>79231.7</v>
      </c>
      <c r="T781" t="s">
        <v>31</v>
      </c>
      <c r="U781" t="str">
        <f t="shared" si="36"/>
        <v>2023-02</v>
      </c>
      <c r="V781">
        <f t="shared" si="37"/>
        <v>2</v>
      </c>
      <c r="W781" s="2">
        <f t="shared" si="38"/>
        <v>0.346868487873216</v>
      </c>
    </row>
    <row r="782" spans="1:23">
      <c r="A782" t="s">
        <v>1501</v>
      </c>
      <c r="B782" s="1">
        <v>45019</v>
      </c>
      <c r="C782" s="1">
        <v>45026</v>
      </c>
      <c r="D782" t="s">
        <v>410</v>
      </c>
      <c r="E782" t="s">
        <v>190</v>
      </c>
      <c r="F782" t="s">
        <v>35</v>
      </c>
      <c r="G782" t="s">
        <v>24</v>
      </c>
      <c r="H782" t="s">
        <v>25</v>
      </c>
      <c r="I782" t="s">
        <v>26</v>
      </c>
      <c r="J782" t="s">
        <v>47</v>
      </c>
      <c r="K782" t="s">
        <v>48</v>
      </c>
      <c r="L782" t="s">
        <v>66</v>
      </c>
      <c r="M782" t="s">
        <v>67</v>
      </c>
      <c r="N782">
        <v>4</v>
      </c>
      <c r="O782">
        <v>133800</v>
      </c>
      <c r="P782">
        <v>0</v>
      </c>
      <c r="Q782">
        <v>535200</v>
      </c>
      <c r="R782">
        <v>327335.55</v>
      </c>
      <c r="S782">
        <v>207864.45</v>
      </c>
      <c r="T782" t="s">
        <v>73</v>
      </c>
      <c r="U782" t="str">
        <f t="shared" si="36"/>
        <v>2023-04</v>
      </c>
      <c r="V782">
        <f t="shared" si="37"/>
        <v>7</v>
      </c>
      <c r="W782" s="2">
        <f t="shared" si="38"/>
        <v>0.38838649103139017</v>
      </c>
    </row>
    <row r="783" spans="1:23">
      <c r="A783" t="s">
        <v>1502</v>
      </c>
      <c r="B783" s="1">
        <v>45645</v>
      </c>
      <c r="C783" s="1">
        <v>45650</v>
      </c>
      <c r="D783" t="s">
        <v>459</v>
      </c>
      <c r="E783" t="s">
        <v>86</v>
      </c>
      <c r="F783" t="s">
        <v>23</v>
      </c>
      <c r="G783" t="s">
        <v>95</v>
      </c>
      <c r="H783" t="s">
        <v>96</v>
      </c>
      <c r="I783" t="s">
        <v>26</v>
      </c>
      <c r="J783" t="s">
        <v>47</v>
      </c>
      <c r="K783" t="s">
        <v>128</v>
      </c>
      <c r="L783" t="s">
        <v>129</v>
      </c>
      <c r="M783" t="s">
        <v>130</v>
      </c>
      <c r="N783">
        <v>5</v>
      </c>
      <c r="O783">
        <v>1401100</v>
      </c>
      <c r="P783">
        <v>0.05</v>
      </c>
      <c r="Q783">
        <v>6655225</v>
      </c>
      <c r="R783">
        <v>5131311.49</v>
      </c>
      <c r="S783">
        <v>1523913.51</v>
      </c>
      <c r="T783" t="s">
        <v>31</v>
      </c>
      <c r="U783" t="str">
        <f t="shared" si="36"/>
        <v>2024-12</v>
      </c>
      <c r="V783">
        <f t="shared" si="37"/>
        <v>5</v>
      </c>
      <c r="W783" s="2">
        <f t="shared" si="38"/>
        <v>0.22898001344808028</v>
      </c>
    </row>
    <row r="784" spans="1:23">
      <c r="A784" t="s">
        <v>1503</v>
      </c>
      <c r="B784" s="1">
        <v>45990</v>
      </c>
      <c r="C784" s="1">
        <v>45996</v>
      </c>
      <c r="D784" t="s">
        <v>369</v>
      </c>
      <c r="E784" t="s">
        <v>678</v>
      </c>
      <c r="F784" t="s">
        <v>54</v>
      </c>
      <c r="G784" t="s">
        <v>169</v>
      </c>
      <c r="H784" t="s">
        <v>157</v>
      </c>
      <c r="I784" t="s">
        <v>57</v>
      </c>
      <c r="J784" t="s">
        <v>27</v>
      </c>
      <c r="K784" t="s">
        <v>28</v>
      </c>
      <c r="L784" t="s">
        <v>71</v>
      </c>
      <c r="M784" t="s">
        <v>72</v>
      </c>
      <c r="N784">
        <v>2</v>
      </c>
      <c r="O784">
        <v>40800</v>
      </c>
      <c r="P784">
        <v>0.1</v>
      </c>
      <c r="Q784">
        <v>73440</v>
      </c>
      <c r="R784">
        <v>44148.58</v>
      </c>
      <c r="S784">
        <v>29291.42</v>
      </c>
      <c r="T784" t="s">
        <v>73</v>
      </c>
      <c r="U784" t="str">
        <f t="shared" si="36"/>
        <v>2025-11</v>
      </c>
      <c r="V784">
        <f t="shared" si="37"/>
        <v>6</v>
      </c>
      <c r="W784" s="2">
        <f t="shared" si="38"/>
        <v>0.39884831154684092</v>
      </c>
    </row>
    <row r="785" spans="1:23">
      <c r="A785" t="s">
        <v>1504</v>
      </c>
      <c r="B785" s="1">
        <v>45109</v>
      </c>
      <c r="C785" s="1">
        <v>45111</v>
      </c>
      <c r="D785" t="s">
        <v>377</v>
      </c>
      <c r="E785" t="s">
        <v>162</v>
      </c>
      <c r="F785" t="s">
        <v>54</v>
      </c>
      <c r="G785" t="s">
        <v>44</v>
      </c>
      <c r="H785" t="s">
        <v>45</v>
      </c>
      <c r="I785" t="s">
        <v>46</v>
      </c>
      <c r="J785" t="s">
        <v>27</v>
      </c>
      <c r="K785" t="s">
        <v>116</v>
      </c>
      <c r="L785" t="s">
        <v>117</v>
      </c>
      <c r="M785" t="s">
        <v>118</v>
      </c>
      <c r="N785">
        <v>10</v>
      </c>
      <c r="O785">
        <v>29500</v>
      </c>
      <c r="P785">
        <v>0</v>
      </c>
      <c r="Q785">
        <v>295000</v>
      </c>
      <c r="R785">
        <v>154428.92000000001</v>
      </c>
      <c r="S785">
        <v>140571.07999999999</v>
      </c>
      <c r="T785" t="s">
        <v>40</v>
      </c>
      <c r="U785" t="str">
        <f t="shared" si="36"/>
        <v>2023-07</v>
      </c>
      <c r="V785">
        <f t="shared" si="37"/>
        <v>2</v>
      </c>
      <c r="W785" s="2">
        <f t="shared" si="38"/>
        <v>0.47651213559322031</v>
      </c>
    </row>
    <row r="786" spans="1:23">
      <c r="A786" t="s">
        <v>1505</v>
      </c>
      <c r="B786" s="1">
        <v>45727</v>
      </c>
      <c r="C786" s="1">
        <v>45732</v>
      </c>
      <c r="D786" t="s">
        <v>916</v>
      </c>
      <c r="E786" t="s">
        <v>1100</v>
      </c>
      <c r="F786" t="s">
        <v>23</v>
      </c>
      <c r="G786" t="s">
        <v>95</v>
      </c>
      <c r="H786" t="s">
        <v>96</v>
      </c>
      <c r="I786" t="s">
        <v>26</v>
      </c>
      <c r="J786" t="s">
        <v>36</v>
      </c>
      <c r="K786" t="s">
        <v>89</v>
      </c>
      <c r="L786" t="s">
        <v>151</v>
      </c>
      <c r="M786" t="s">
        <v>152</v>
      </c>
      <c r="N786">
        <v>5</v>
      </c>
      <c r="O786">
        <v>1158800</v>
      </c>
      <c r="P786">
        <v>0.15</v>
      </c>
      <c r="Q786">
        <v>4924900</v>
      </c>
      <c r="R786">
        <v>3973851.39</v>
      </c>
      <c r="S786">
        <v>951048.61</v>
      </c>
      <c r="T786" t="s">
        <v>60</v>
      </c>
      <c r="U786" t="str">
        <f t="shared" si="36"/>
        <v>2025-03</v>
      </c>
      <c r="V786">
        <f t="shared" si="37"/>
        <v>5</v>
      </c>
      <c r="W786" s="2">
        <f t="shared" si="38"/>
        <v>0.1931102377713253</v>
      </c>
    </row>
    <row r="787" spans="1:23">
      <c r="A787" t="s">
        <v>1506</v>
      </c>
      <c r="B787" s="1">
        <v>44944</v>
      </c>
      <c r="C787" s="1">
        <v>44948</v>
      </c>
      <c r="D787" t="s">
        <v>871</v>
      </c>
      <c r="E787" t="s">
        <v>595</v>
      </c>
      <c r="F787" t="s">
        <v>35</v>
      </c>
      <c r="G787" t="s">
        <v>64</v>
      </c>
      <c r="H787" t="s">
        <v>65</v>
      </c>
      <c r="I787" t="s">
        <v>57</v>
      </c>
      <c r="J787" t="s">
        <v>27</v>
      </c>
      <c r="K787" t="s">
        <v>28</v>
      </c>
      <c r="L787" t="s">
        <v>71</v>
      </c>
      <c r="M787" t="s">
        <v>72</v>
      </c>
      <c r="N787">
        <v>3</v>
      </c>
      <c r="O787">
        <v>47100</v>
      </c>
      <c r="P787">
        <v>0</v>
      </c>
      <c r="Q787">
        <v>141300</v>
      </c>
      <c r="R787">
        <v>72555.62</v>
      </c>
      <c r="S787">
        <v>68744.38</v>
      </c>
      <c r="T787" t="s">
        <v>60</v>
      </c>
      <c r="U787" t="str">
        <f t="shared" si="36"/>
        <v>2023-01</v>
      </c>
      <c r="V787">
        <f t="shared" si="37"/>
        <v>4</v>
      </c>
      <c r="W787" s="2">
        <f t="shared" si="38"/>
        <v>0.48651365888181181</v>
      </c>
    </row>
    <row r="788" spans="1:23">
      <c r="A788" t="s">
        <v>1507</v>
      </c>
      <c r="B788" s="1">
        <v>45010</v>
      </c>
      <c r="C788" s="1">
        <v>45012</v>
      </c>
      <c r="D788" t="s">
        <v>171</v>
      </c>
      <c r="E788" t="s">
        <v>766</v>
      </c>
      <c r="F788" t="s">
        <v>23</v>
      </c>
      <c r="G788" t="s">
        <v>140</v>
      </c>
      <c r="H788" t="s">
        <v>141</v>
      </c>
      <c r="I788" t="s">
        <v>46</v>
      </c>
      <c r="J788" t="s">
        <v>47</v>
      </c>
      <c r="K788" t="s">
        <v>142</v>
      </c>
      <c r="L788" t="s">
        <v>143</v>
      </c>
      <c r="M788" t="s">
        <v>144</v>
      </c>
      <c r="N788">
        <v>2</v>
      </c>
      <c r="O788">
        <v>6376100</v>
      </c>
      <c r="P788">
        <v>0</v>
      </c>
      <c r="Q788">
        <v>12752200</v>
      </c>
      <c r="R788">
        <v>10025130.300000001</v>
      </c>
      <c r="S788">
        <v>2727069.7</v>
      </c>
      <c r="T788" t="s">
        <v>31</v>
      </c>
      <c r="U788" t="str">
        <f t="shared" si="36"/>
        <v>2023-03</v>
      </c>
      <c r="V788">
        <f t="shared" si="37"/>
        <v>2</v>
      </c>
      <c r="W788" s="2">
        <f t="shared" si="38"/>
        <v>0.21385091984128229</v>
      </c>
    </row>
    <row r="789" spans="1:23">
      <c r="A789" t="s">
        <v>1508</v>
      </c>
      <c r="B789" s="1">
        <v>45955</v>
      </c>
      <c r="C789" s="1">
        <v>45961</v>
      </c>
      <c r="D789" t="s">
        <v>610</v>
      </c>
      <c r="E789" t="s">
        <v>345</v>
      </c>
      <c r="F789" t="s">
        <v>35</v>
      </c>
      <c r="G789" t="s">
        <v>44</v>
      </c>
      <c r="H789" t="s">
        <v>45</v>
      </c>
      <c r="I789" t="s">
        <v>46</v>
      </c>
      <c r="J789" t="s">
        <v>27</v>
      </c>
      <c r="K789" t="s">
        <v>28</v>
      </c>
      <c r="L789" t="s">
        <v>71</v>
      </c>
      <c r="M789" t="s">
        <v>72</v>
      </c>
      <c r="N789">
        <v>10</v>
      </c>
      <c r="O789">
        <v>42400</v>
      </c>
      <c r="P789">
        <v>0.1</v>
      </c>
      <c r="Q789">
        <v>381600</v>
      </c>
      <c r="R789">
        <v>211769.57</v>
      </c>
      <c r="S789">
        <v>169830.43</v>
      </c>
      <c r="T789" t="s">
        <v>73</v>
      </c>
      <c r="U789" t="str">
        <f t="shared" si="36"/>
        <v>2025-10</v>
      </c>
      <c r="V789">
        <f t="shared" si="37"/>
        <v>6</v>
      </c>
      <c r="W789" s="2">
        <f t="shared" si="38"/>
        <v>0.44504829664570228</v>
      </c>
    </row>
    <row r="790" spans="1:23">
      <c r="A790" t="s">
        <v>1509</v>
      </c>
      <c r="B790" s="1">
        <v>45653</v>
      </c>
      <c r="C790" s="1">
        <v>45655</v>
      </c>
      <c r="D790" t="s">
        <v>278</v>
      </c>
      <c r="E790" t="s">
        <v>742</v>
      </c>
      <c r="F790" t="s">
        <v>23</v>
      </c>
      <c r="G790" t="s">
        <v>169</v>
      </c>
      <c r="H790" t="s">
        <v>157</v>
      </c>
      <c r="I790" t="s">
        <v>57</v>
      </c>
      <c r="J790" t="s">
        <v>27</v>
      </c>
      <c r="K790" t="s">
        <v>116</v>
      </c>
      <c r="L790" t="s">
        <v>117</v>
      </c>
      <c r="M790" t="s">
        <v>118</v>
      </c>
      <c r="N790">
        <v>6</v>
      </c>
      <c r="O790">
        <v>29800</v>
      </c>
      <c r="P790">
        <v>0.1</v>
      </c>
      <c r="Q790">
        <v>160920</v>
      </c>
      <c r="R790">
        <v>85205.23</v>
      </c>
      <c r="S790">
        <v>75714.77</v>
      </c>
      <c r="T790" t="s">
        <v>31</v>
      </c>
      <c r="U790" t="str">
        <f t="shared" si="36"/>
        <v>2024-12</v>
      </c>
      <c r="V790">
        <f t="shared" si="37"/>
        <v>2</v>
      </c>
      <c r="W790" s="2">
        <f t="shared" si="38"/>
        <v>0.47051186925180216</v>
      </c>
    </row>
    <row r="791" spans="1:23">
      <c r="A791" t="s">
        <v>1510</v>
      </c>
      <c r="B791" s="1">
        <v>45587</v>
      </c>
      <c r="C791" s="1">
        <v>45594</v>
      </c>
      <c r="D791" t="s">
        <v>284</v>
      </c>
      <c r="E791" t="s">
        <v>112</v>
      </c>
      <c r="F791" t="s">
        <v>23</v>
      </c>
      <c r="G791" t="s">
        <v>24</v>
      </c>
      <c r="H791" t="s">
        <v>25</v>
      </c>
      <c r="I791" t="s">
        <v>26</v>
      </c>
      <c r="J791" t="s">
        <v>36</v>
      </c>
      <c r="K791" t="s">
        <v>37</v>
      </c>
      <c r="L791" t="s">
        <v>58</v>
      </c>
      <c r="M791" t="s">
        <v>59</v>
      </c>
      <c r="N791">
        <v>3</v>
      </c>
      <c r="O791">
        <v>840600</v>
      </c>
      <c r="P791">
        <v>0</v>
      </c>
      <c r="Q791">
        <v>2521800</v>
      </c>
      <c r="R791">
        <v>1677963.35</v>
      </c>
      <c r="S791">
        <v>843836.65</v>
      </c>
      <c r="T791" t="s">
        <v>40</v>
      </c>
      <c r="U791" t="str">
        <f t="shared" si="36"/>
        <v>2024-10</v>
      </c>
      <c r="V791">
        <f t="shared" si="37"/>
        <v>7</v>
      </c>
      <c r="W791" s="2">
        <f t="shared" si="38"/>
        <v>0.33461680149099848</v>
      </c>
    </row>
    <row r="792" spans="1:23">
      <c r="A792" t="s">
        <v>1511</v>
      </c>
      <c r="B792" s="1">
        <v>45696</v>
      </c>
      <c r="C792" s="1">
        <v>45703</v>
      </c>
      <c r="D792" t="s">
        <v>354</v>
      </c>
      <c r="E792" t="s">
        <v>267</v>
      </c>
      <c r="F792" t="s">
        <v>23</v>
      </c>
      <c r="G792" t="s">
        <v>44</v>
      </c>
      <c r="H792" t="s">
        <v>45</v>
      </c>
      <c r="I792" t="s">
        <v>46</v>
      </c>
      <c r="J792" t="s">
        <v>27</v>
      </c>
      <c r="K792" t="s">
        <v>116</v>
      </c>
      <c r="L792" t="s">
        <v>117</v>
      </c>
      <c r="M792" t="s">
        <v>118</v>
      </c>
      <c r="N792">
        <v>3</v>
      </c>
      <c r="O792">
        <v>27300</v>
      </c>
      <c r="P792">
        <v>0.1</v>
      </c>
      <c r="Q792">
        <v>73710</v>
      </c>
      <c r="R792">
        <v>39989.85</v>
      </c>
      <c r="S792">
        <v>33720.15</v>
      </c>
      <c r="T792" t="s">
        <v>40</v>
      </c>
      <c r="U792" t="str">
        <f t="shared" si="36"/>
        <v>2025-02</v>
      </c>
      <c r="V792">
        <f t="shared" si="37"/>
        <v>7</v>
      </c>
      <c r="W792" s="2">
        <f t="shared" si="38"/>
        <v>0.45747049247049248</v>
      </c>
    </row>
    <row r="793" spans="1:23">
      <c r="A793" t="s">
        <v>1512</v>
      </c>
      <c r="B793" s="1">
        <v>45788</v>
      </c>
      <c r="C793" s="1">
        <v>45792</v>
      </c>
      <c r="D793" t="s">
        <v>822</v>
      </c>
      <c r="E793" t="s">
        <v>391</v>
      </c>
      <c r="F793" t="s">
        <v>54</v>
      </c>
      <c r="G793" t="s">
        <v>140</v>
      </c>
      <c r="H793" t="s">
        <v>141</v>
      </c>
      <c r="I793" t="s">
        <v>46</v>
      </c>
      <c r="J793" t="s">
        <v>36</v>
      </c>
      <c r="K793" t="s">
        <v>37</v>
      </c>
      <c r="L793" t="s">
        <v>38</v>
      </c>
      <c r="M793" t="s">
        <v>39</v>
      </c>
      <c r="N793">
        <v>1</v>
      </c>
      <c r="O793">
        <v>912300</v>
      </c>
      <c r="P793">
        <v>0.2</v>
      </c>
      <c r="Q793">
        <v>729840</v>
      </c>
      <c r="R793">
        <v>652785.56999999995</v>
      </c>
      <c r="S793">
        <v>77054.429999999993</v>
      </c>
      <c r="T793" t="s">
        <v>40</v>
      </c>
      <c r="U793" t="str">
        <f t="shared" si="36"/>
        <v>2025-05</v>
      </c>
      <c r="V793">
        <f t="shared" si="37"/>
        <v>4</v>
      </c>
      <c r="W793" s="2">
        <f t="shared" si="38"/>
        <v>0.10557715389674448</v>
      </c>
    </row>
    <row r="794" spans="1:23">
      <c r="A794" t="s">
        <v>1513</v>
      </c>
      <c r="B794" s="1">
        <v>45527</v>
      </c>
      <c r="C794" s="1">
        <v>45528</v>
      </c>
      <c r="D794" t="s">
        <v>385</v>
      </c>
      <c r="E794" t="s">
        <v>538</v>
      </c>
      <c r="F794" t="s">
        <v>23</v>
      </c>
      <c r="G794" t="s">
        <v>80</v>
      </c>
      <c r="H794" t="s">
        <v>45</v>
      </c>
      <c r="I794" t="s">
        <v>46</v>
      </c>
      <c r="J794" t="s">
        <v>27</v>
      </c>
      <c r="K794" t="s">
        <v>116</v>
      </c>
      <c r="L794" t="s">
        <v>117</v>
      </c>
      <c r="M794" t="s">
        <v>118</v>
      </c>
      <c r="N794">
        <v>2</v>
      </c>
      <c r="O794">
        <v>28800</v>
      </c>
      <c r="P794">
        <v>0.05</v>
      </c>
      <c r="Q794">
        <v>54720</v>
      </c>
      <c r="R794">
        <v>29891.919999999998</v>
      </c>
      <c r="S794">
        <v>24828.080000000002</v>
      </c>
      <c r="T794" t="s">
        <v>31</v>
      </c>
      <c r="U794" t="str">
        <f t="shared" si="36"/>
        <v>2024-08</v>
      </c>
      <c r="V794">
        <f t="shared" si="37"/>
        <v>1</v>
      </c>
      <c r="W794" s="2">
        <f t="shared" si="38"/>
        <v>0.45372953216374273</v>
      </c>
    </row>
    <row r="795" spans="1:23">
      <c r="A795" t="s">
        <v>1514</v>
      </c>
      <c r="B795" s="1">
        <v>45146</v>
      </c>
      <c r="C795" s="1">
        <v>45149</v>
      </c>
      <c r="D795" t="s">
        <v>260</v>
      </c>
      <c r="E795" t="s">
        <v>1132</v>
      </c>
      <c r="F795" t="s">
        <v>23</v>
      </c>
      <c r="G795" t="s">
        <v>55</v>
      </c>
      <c r="H795" t="s">
        <v>56</v>
      </c>
      <c r="I795" t="s">
        <v>57</v>
      </c>
      <c r="J795" t="s">
        <v>36</v>
      </c>
      <c r="K795" t="s">
        <v>89</v>
      </c>
      <c r="L795" t="s">
        <v>151</v>
      </c>
      <c r="M795" t="s">
        <v>152</v>
      </c>
      <c r="N795">
        <v>5</v>
      </c>
      <c r="O795">
        <v>1158400</v>
      </c>
      <c r="P795">
        <v>0.1</v>
      </c>
      <c r="Q795">
        <v>5212800</v>
      </c>
      <c r="R795">
        <v>3944308.55</v>
      </c>
      <c r="S795">
        <v>1268491.45</v>
      </c>
      <c r="T795" t="s">
        <v>60</v>
      </c>
      <c r="U795" t="str">
        <f t="shared" si="36"/>
        <v>2023-08</v>
      </c>
      <c r="V795">
        <f t="shared" si="37"/>
        <v>3</v>
      </c>
      <c r="W795" s="2">
        <f t="shared" si="38"/>
        <v>0.24334166858502149</v>
      </c>
    </row>
    <row r="796" spans="1:23">
      <c r="A796" t="s">
        <v>1515</v>
      </c>
      <c r="B796" s="1">
        <v>45984</v>
      </c>
      <c r="C796" s="1">
        <v>45986</v>
      </c>
      <c r="D796" t="s">
        <v>287</v>
      </c>
      <c r="E796" t="s">
        <v>582</v>
      </c>
      <c r="F796" t="s">
        <v>23</v>
      </c>
      <c r="G796" t="s">
        <v>80</v>
      </c>
      <c r="H796" t="s">
        <v>45</v>
      </c>
      <c r="I796" t="s">
        <v>46</v>
      </c>
      <c r="J796" t="s">
        <v>36</v>
      </c>
      <c r="K796" t="s">
        <v>89</v>
      </c>
      <c r="L796" t="s">
        <v>90</v>
      </c>
      <c r="M796" t="s">
        <v>91</v>
      </c>
      <c r="N796">
        <v>2</v>
      </c>
      <c r="O796">
        <v>3050400</v>
      </c>
      <c r="P796">
        <v>0.3</v>
      </c>
      <c r="Q796">
        <v>4270560</v>
      </c>
      <c r="R796">
        <v>4060613.31</v>
      </c>
      <c r="S796">
        <v>209946.69</v>
      </c>
      <c r="T796" t="s">
        <v>73</v>
      </c>
      <c r="U796" t="str">
        <f t="shared" si="36"/>
        <v>2025-11</v>
      </c>
      <c r="V796">
        <f t="shared" si="37"/>
        <v>2</v>
      </c>
      <c r="W796" s="2">
        <f t="shared" si="38"/>
        <v>4.9161395695178148E-2</v>
      </c>
    </row>
    <row r="797" spans="1:23">
      <c r="A797" t="s">
        <v>1516</v>
      </c>
      <c r="B797" s="1">
        <v>45338</v>
      </c>
      <c r="C797" s="1">
        <v>45339</v>
      </c>
      <c r="D797" t="s">
        <v>390</v>
      </c>
      <c r="E797" t="s">
        <v>1084</v>
      </c>
      <c r="F797" t="s">
        <v>54</v>
      </c>
      <c r="G797" t="s">
        <v>55</v>
      </c>
      <c r="H797" t="s">
        <v>56</v>
      </c>
      <c r="I797" t="s">
        <v>57</v>
      </c>
      <c r="J797" t="s">
        <v>47</v>
      </c>
      <c r="K797" t="s">
        <v>173</v>
      </c>
      <c r="L797" t="s">
        <v>203</v>
      </c>
      <c r="M797" t="s">
        <v>204</v>
      </c>
      <c r="N797">
        <v>1</v>
      </c>
      <c r="O797">
        <v>2952900</v>
      </c>
      <c r="P797">
        <v>0</v>
      </c>
      <c r="Q797">
        <v>2952900</v>
      </c>
      <c r="R797">
        <v>2279560.5</v>
      </c>
      <c r="S797">
        <v>673339.5</v>
      </c>
      <c r="T797" t="s">
        <v>31</v>
      </c>
      <c r="U797" t="str">
        <f t="shared" si="36"/>
        <v>2024-02</v>
      </c>
      <c r="V797">
        <f t="shared" si="37"/>
        <v>1</v>
      </c>
      <c r="W797" s="2">
        <f t="shared" si="38"/>
        <v>0.22802651630600426</v>
      </c>
    </row>
    <row r="798" spans="1:23">
      <c r="A798" t="s">
        <v>1517</v>
      </c>
      <c r="B798" s="1">
        <v>45176</v>
      </c>
      <c r="C798" s="1">
        <v>45179</v>
      </c>
      <c r="D798" t="s">
        <v>1272</v>
      </c>
      <c r="E798" t="s">
        <v>136</v>
      </c>
      <c r="F798" t="s">
        <v>54</v>
      </c>
      <c r="G798" t="s">
        <v>24</v>
      </c>
      <c r="H798" t="s">
        <v>25</v>
      </c>
      <c r="I798" t="s">
        <v>26</v>
      </c>
      <c r="J798" t="s">
        <v>36</v>
      </c>
      <c r="K798" t="s">
        <v>81</v>
      </c>
      <c r="L798" t="s">
        <v>82</v>
      </c>
      <c r="M798" t="s">
        <v>83</v>
      </c>
      <c r="N798">
        <v>5</v>
      </c>
      <c r="O798">
        <v>682400</v>
      </c>
      <c r="P798">
        <v>0.2</v>
      </c>
      <c r="Q798">
        <v>2729600</v>
      </c>
      <c r="R798">
        <v>2249693.9700000002</v>
      </c>
      <c r="S798">
        <v>479906.03</v>
      </c>
      <c r="T798" t="s">
        <v>60</v>
      </c>
      <c r="U798" t="str">
        <f t="shared" si="36"/>
        <v>2023-09</v>
      </c>
      <c r="V798">
        <f t="shared" si="37"/>
        <v>3</v>
      </c>
      <c r="W798" s="2">
        <f t="shared" si="38"/>
        <v>0.17581551509378665</v>
      </c>
    </row>
    <row r="799" spans="1:23">
      <c r="A799" t="s">
        <v>1518</v>
      </c>
      <c r="B799" s="1">
        <v>44971</v>
      </c>
      <c r="C799" s="1">
        <v>44973</v>
      </c>
      <c r="D799" t="s">
        <v>333</v>
      </c>
      <c r="E799" t="s">
        <v>1519</v>
      </c>
      <c r="F799" t="s">
        <v>23</v>
      </c>
      <c r="G799" t="s">
        <v>80</v>
      </c>
      <c r="H799" t="s">
        <v>45</v>
      </c>
      <c r="I799" t="s">
        <v>46</v>
      </c>
      <c r="J799" t="s">
        <v>47</v>
      </c>
      <c r="K799" t="s">
        <v>173</v>
      </c>
      <c r="L799" t="s">
        <v>174</v>
      </c>
      <c r="M799" t="s">
        <v>175</v>
      </c>
      <c r="N799">
        <v>2</v>
      </c>
      <c r="O799">
        <v>4529900</v>
      </c>
      <c r="P799">
        <v>0.1</v>
      </c>
      <c r="Q799">
        <v>8153820</v>
      </c>
      <c r="R799">
        <v>7302302.2000000002</v>
      </c>
      <c r="S799">
        <v>851517.8</v>
      </c>
      <c r="T799" t="s">
        <v>73</v>
      </c>
      <c r="U799" t="str">
        <f t="shared" si="36"/>
        <v>2023-02</v>
      </c>
      <c r="V799">
        <f t="shared" si="37"/>
        <v>2</v>
      </c>
      <c r="W799" s="2">
        <f t="shared" si="38"/>
        <v>0.10443176327169351</v>
      </c>
    </row>
    <row r="800" spans="1:23">
      <c r="A800" t="s">
        <v>1520</v>
      </c>
      <c r="B800" s="1">
        <v>45490</v>
      </c>
      <c r="C800" s="1">
        <v>45494</v>
      </c>
      <c r="D800" t="s">
        <v>671</v>
      </c>
      <c r="E800" t="s">
        <v>810</v>
      </c>
      <c r="F800" t="s">
        <v>23</v>
      </c>
      <c r="G800" t="s">
        <v>64</v>
      </c>
      <c r="H800" t="s">
        <v>65</v>
      </c>
      <c r="I800" t="s">
        <v>57</v>
      </c>
      <c r="J800" t="s">
        <v>36</v>
      </c>
      <c r="K800" t="s">
        <v>81</v>
      </c>
      <c r="L800" t="s">
        <v>215</v>
      </c>
      <c r="M800" t="s">
        <v>216</v>
      </c>
      <c r="N800">
        <v>1</v>
      </c>
      <c r="O800">
        <v>1684100</v>
      </c>
      <c r="P800">
        <v>0</v>
      </c>
      <c r="Q800">
        <v>1684100</v>
      </c>
      <c r="R800">
        <v>1112201.6000000001</v>
      </c>
      <c r="S800">
        <v>571898.4</v>
      </c>
      <c r="T800" t="s">
        <v>40</v>
      </c>
      <c r="U800" t="str">
        <f t="shared" si="36"/>
        <v>2024-07</v>
      </c>
      <c r="V800">
        <f t="shared" si="37"/>
        <v>4</v>
      </c>
      <c r="W800" s="2">
        <f t="shared" si="38"/>
        <v>0.33958696039427588</v>
      </c>
    </row>
    <row r="801" spans="1:23">
      <c r="A801" t="s">
        <v>1521</v>
      </c>
      <c r="B801" s="1">
        <v>45837</v>
      </c>
      <c r="C801" s="1">
        <v>45838</v>
      </c>
      <c r="D801" t="s">
        <v>553</v>
      </c>
      <c r="E801" t="s">
        <v>394</v>
      </c>
      <c r="F801" t="s">
        <v>23</v>
      </c>
      <c r="G801" t="s">
        <v>80</v>
      </c>
      <c r="H801" t="s">
        <v>45</v>
      </c>
      <c r="I801" t="s">
        <v>46</v>
      </c>
      <c r="J801" t="s">
        <v>27</v>
      </c>
      <c r="K801" t="s">
        <v>179</v>
      </c>
      <c r="L801" t="s">
        <v>180</v>
      </c>
      <c r="M801" t="s">
        <v>181</v>
      </c>
      <c r="N801">
        <v>1</v>
      </c>
      <c r="O801">
        <v>62500</v>
      </c>
      <c r="P801">
        <v>0.05</v>
      </c>
      <c r="Q801">
        <v>59375</v>
      </c>
      <c r="R801">
        <v>35154.21</v>
      </c>
      <c r="S801">
        <v>24220.79</v>
      </c>
      <c r="T801" t="s">
        <v>40</v>
      </c>
      <c r="U801" t="str">
        <f t="shared" si="36"/>
        <v>2025-06</v>
      </c>
      <c r="V801">
        <f t="shared" si="37"/>
        <v>1</v>
      </c>
      <c r="W801" s="2">
        <f t="shared" si="38"/>
        <v>0.40792909473684213</v>
      </c>
    </row>
    <row r="802" spans="1:23">
      <c r="A802" t="s">
        <v>1522</v>
      </c>
      <c r="B802" s="1">
        <v>46002</v>
      </c>
      <c r="C802" s="1">
        <v>46006</v>
      </c>
      <c r="D802" t="s">
        <v>671</v>
      </c>
      <c r="E802" t="s">
        <v>1186</v>
      </c>
      <c r="F802" t="s">
        <v>23</v>
      </c>
      <c r="G802" t="s">
        <v>80</v>
      </c>
      <c r="H802" t="s">
        <v>45</v>
      </c>
      <c r="I802" t="s">
        <v>46</v>
      </c>
      <c r="J802" t="s">
        <v>36</v>
      </c>
      <c r="K802" t="s">
        <v>81</v>
      </c>
      <c r="L802" t="s">
        <v>82</v>
      </c>
      <c r="M802" t="s">
        <v>83</v>
      </c>
      <c r="N802">
        <v>2</v>
      </c>
      <c r="O802">
        <v>707800</v>
      </c>
      <c r="P802">
        <v>0</v>
      </c>
      <c r="Q802">
        <v>1415600</v>
      </c>
      <c r="R802">
        <v>953135.87</v>
      </c>
      <c r="S802">
        <v>462464.13</v>
      </c>
      <c r="T802" t="s">
        <v>60</v>
      </c>
      <c r="U802" t="str">
        <f t="shared" si="36"/>
        <v>2025-12</v>
      </c>
      <c r="V802">
        <f t="shared" si="37"/>
        <v>4</v>
      </c>
      <c r="W802" s="2">
        <f t="shared" si="38"/>
        <v>0.32669124752755013</v>
      </c>
    </row>
    <row r="803" spans="1:23">
      <c r="A803" t="s">
        <v>1523</v>
      </c>
      <c r="B803" s="1">
        <v>45066</v>
      </c>
      <c r="C803" s="1">
        <v>45073</v>
      </c>
      <c r="D803" t="s">
        <v>773</v>
      </c>
      <c r="E803" t="s">
        <v>473</v>
      </c>
      <c r="F803" t="s">
        <v>35</v>
      </c>
      <c r="G803" t="s">
        <v>64</v>
      </c>
      <c r="H803" t="s">
        <v>65</v>
      </c>
      <c r="I803" t="s">
        <v>57</v>
      </c>
      <c r="J803" t="s">
        <v>27</v>
      </c>
      <c r="K803" t="s">
        <v>116</v>
      </c>
      <c r="L803" t="s">
        <v>117</v>
      </c>
      <c r="M803" t="s">
        <v>118</v>
      </c>
      <c r="N803">
        <v>3</v>
      </c>
      <c r="O803">
        <v>29800</v>
      </c>
      <c r="P803">
        <v>0.15</v>
      </c>
      <c r="Q803">
        <v>75990</v>
      </c>
      <c r="R803">
        <v>44607.93</v>
      </c>
      <c r="S803">
        <v>31382.07</v>
      </c>
      <c r="T803" t="s">
        <v>73</v>
      </c>
      <c r="U803" t="str">
        <f t="shared" si="36"/>
        <v>2023-05</v>
      </c>
      <c r="V803">
        <f t="shared" si="37"/>
        <v>7</v>
      </c>
      <c r="W803" s="2">
        <f t="shared" si="38"/>
        <v>0.41297631267272011</v>
      </c>
    </row>
    <row r="804" spans="1:23">
      <c r="A804" t="s">
        <v>1524</v>
      </c>
      <c r="B804" s="1">
        <v>45639</v>
      </c>
      <c r="C804" s="1">
        <v>45644</v>
      </c>
      <c r="D804" t="s">
        <v>992</v>
      </c>
      <c r="E804" t="s">
        <v>590</v>
      </c>
      <c r="F804" t="s">
        <v>23</v>
      </c>
      <c r="G804" t="s">
        <v>44</v>
      </c>
      <c r="H804" t="s">
        <v>45</v>
      </c>
      <c r="I804" t="s">
        <v>46</v>
      </c>
      <c r="J804" t="s">
        <v>36</v>
      </c>
      <c r="K804" t="s">
        <v>89</v>
      </c>
      <c r="L804" t="s">
        <v>90</v>
      </c>
      <c r="M804" t="s">
        <v>91</v>
      </c>
      <c r="N804">
        <v>1</v>
      </c>
      <c r="O804">
        <v>3296000</v>
      </c>
      <c r="P804">
        <v>0.05</v>
      </c>
      <c r="Q804">
        <v>3131200</v>
      </c>
      <c r="R804">
        <v>2395593.21</v>
      </c>
      <c r="S804">
        <v>735606.79</v>
      </c>
      <c r="T804" t="s">
        <v>73</v>
      </c>
      <c r="U804" t="str">
        <f t="shared" si="36"/>
        <v>2024-12</v>
      </c>
      <c r="V804">
        <f t="shared" si="37"/>
        <v>5</v>
      </c>
      <c r="W804" s="2">
        <f t="shared" si="38"/>
        <v>0.23492807549821157</v>
      </c>
    </row>
    <row r="805" spans="1:23">
      <c r="A805" t="s">
        <v>1525</v>
      </c>
      <c r="B805" s="1">
        <v>45411</v>
      </c>
      <c r="C805" s="1">
        <v>45412</v>
      </c>
      <c r="D805" t="s">
        <v>314</v>
      </c>
      <c r="E805" t="s">
        <v>121</v>
      </c>
      <c r="F805" t="s">
        <v>35</v>
      </c>
      <c r="G805" t="s">
        <v>169</v>
      </c>
      <c r="H805" t="s">
        <v>157</v>
      </c>
      <c r="I805" t="s">
        <v>57</v>
      </c>
      <c r="J805" t="s">
        <v>27</v>
      </c>
      <c r="K805" t="s">
        <v>28</v>
      </c>
      <c r="L805" t="s">
        <v>71</v>
      </c>
      <c r="M805" t="s">
        <v>72</v>
      </c>
      <c r="N805">
        <v>6</v>
      </c>
      <c r="O805">
        <v>41100</v>
      </c>
      <c r="P805">
        <v>0</v>
      </c>
      <c r="Q805">
        <v>246600</v>
      </c>
      <c r="R805">
        <v>122444.17</v>
      </c>
      <c r="S805">
        <v>124155.83</v>
      </c>
      <c r="T805" t="s">
        <v>40</v>
      </c>
      <c r="U805" t="str">
        <f t="shared" si="36"/>
        <v>2024-04</v>
      </c>
      <c r="V805">
        <f t="shared" si="37"/>
        <v>1</v>
      </c>
      <c r="W805" s="2">
        <f t="shared" si="38"/>
        <v>0.50347051905920515</v>
      </c>
    </row>
    <row r="806" spans="1:23">
      <c r="A806" t="s">
        <v>1526</v>
      </c>
      <c r="B806" s="1">
        <v>45693</v>
      </c>
      <c r="C806" s="1">
        <v>45698</v>
      </c>
      <c r="D806" t="s">
        <v>1128</v>
      </c>
      <c r="E806" t="s">
        <v>258</v>
      </c>
      <c r="F806" t="s">
        <v>23</v>
      </c>
      <c r="G806" t="s">
        <v>80</v>
      </c>
      <c r="H806" t="s">
        <v>45</v>
      </c>
      <c r="I806" t="s">
        <v>46</v>
      </c>
      <c r="J806" t="s">
        <v>27</v>
      </c>
      <c r="K806" t="s">
        <v>100</v>
      </c>
      <c r="L806" t="s">
        <v>101</v>
      </c>
      <c r="M806" t="s">
        <v>102</v>
      </c>
      <c r="N806">
        <v>2</v>
      </c>
      <c r="O806">
        <v>64800</v>
      </c>
      <c r="P806">
        <v>0.1</v>
      </c>
      <c r="Q806">
        <v>116640</v>
      </c>
      <c r="R806">
        <v>69566.820000000007</v>
      </c>
      <c r="S806">
        <v>47073.18</v>
      </c>
      <c r="T806" t="s">
        <v>40</v>
      </c>
      <c r="U806" t="str">
        <f t="shared" si="36"/>
        <v>2025-02</v>
      </c>
      <c r="V806">
        <f t="shared" si="37"/>
        <v>5</v>
      </c>
      <c r="W806" s="2">
        <f t="shared" si="38"/>
        <v>0.40357664609053501</v>
      </c>
    </row>
    <row r="807" spans="1:23">
      <c r="A807" t="s">
        <v>1527</v>
      </c>
      <c r="B807" s="1">
        <v>45512</v>
      </c>
      <c r="C807" s="1">
        <v>45514</v>
      </c>
      <c r="D807" t="s">
        <v>898</v>
      </c>
      <c r="E807" t="s">
        <v>411</v>
      </c>
      <c r="F807" t="s">
        <v>35</v>
      </c>
      <c r="G807" t="s">
        <v>169</v>
      </c>
      <c r="H807" t="s">
        <v>157</v>
      </c>
      <c r="I807" t="s">
        <v>57</v>
      </c>
      <c r="J807" t="s">
        <v>47</v>
      </c>
      <c r="K807" t="s">
        <v>173</v>
      </c>
      <c r="L807" t="s">
        <v>203</v>
      </c>
      <c r="M807" t="s">
        <v>204</v>
      </c>
      <c r="N807">
        <v>1</v>
      </c>
      <c r="O807">
        <v>2897100</v>
      </c>
      <c r="P807">
        <v>0.25</v>
      </c>
      <c r="Q807">
        <v>2172825</v>
      </c>
      <c r="R807">
        <v>2119243.61</v>
      </c>
      <c r="S807">
        <v>53581.39</v>
      </c>
      <c r="T807" t="s">
        <v>73</v>
      </c>
      <c r="U807" t="str">
        <f t="shared" si="36"/>
        <v>2024-08</v>
      </c>
      <c r="V807">
        <f t="shared" si="37"/>
        <v>2</v>
      </c>
      <c r="W807" s="2">
        <f t="shared" si="38"/>
        <v>2.4659781620701159E-2</v>
      </c>
    </row>
    <row r="808" spans="1:23">
      <c r="A808" t="s">
        <v>1528</v>
      </c>
      <c r="B808" s="1">
        <v>44937</v>
      </c>
      <c r="C808" s="1">
        <v>44940</v>
      </c>
      <c r="D808" t="s">
        <v>421</v>
      </c>
      <c r="E808" t="s">
        <v>977</v>
      </c>
      <c r="F808" t="s">
        <v>23</v>
      </c>
      <c r="G808" t="s">
        <v>156</v>
      </c>
      <c r="H808" t="s">
        <v>157</v>
      </c>
      <c r="I808" t="s">
        <v>57</v>
      </c>
      <c r="J808" t="s">
        <v>27</v>
      </c>
      <c r="K808" t="s">
        <v>100</v>
      </c>
      <c r="L808" t="s">
        <v>105</v>
      </c>
      <c r="M808" t="s">
        <v>106</v>
      </c>
      <c r="N808">
        <v>1</v>
      </c>
      <c r="O808">
        <v>71900</v>
      </c>
      <c r="P808">
        <v>0.2</v>
      </c>
      <c r="Q808">
        <v>57520</v>
      </c>
      <c r="R808">
        <v>42332.14</v>
      </c>
      <c r="S808">
        <v>15187.86</v>
      </c>
      <c r="T808" t="s">
        <v>40</v>
      </c>
      <c r="U808" t="str">
        <f t="shared" si="36"/>
        <v>2023-01</v>
      </c>
      <c r="V808">
        <f t="shared" si="37"/>
        <v>3</v>
      </c>
      <c r="W808" s="2">
        <f t="shared" si="38"/>
        <v>0.2640448539638387</v>
      </c>
    </row>
    <row r="809" spans="1:23">
      <c r="A809" t="s">
        <v>1529</v>
      </c>
      <c r="B809" s="1">
        <v>45209</v>
      </c>
      <c r="C809" s="1">
        <v>45216</v>
      </c>
      <c r="D809" t="s">
        <v>149</v>
      </c>
      <c r="E809" t="s">
        <v>417</v>
      </c>
      <c r="F809" t="s">
        <v>54</v>
      </c>
      <c r="G809" t="s">
        <v>169</v>
      </c>
      <c r="H809" t="s">
        <v>157</v>
      </c>
      <c r="I809" t="s">
        <v>57</v>
      </c>
      <c r="J809" t="s">
        <v>47</v>
      </c>
      <c r="K809" t="s">
        <v>48</v>
      </c>
      <c r="L809" t="s">
        <v>225</v>
      </c>
      <c r="M809" t="s">
        <v>226</v>
      </c>
      <c r="N809">
        <v>1</v>
      </c>
      <c r="O809">
        <v>233200</v>
      </c>
      <c r="P809">
        <v>0</v>
      </c>
      <c r="Q809">
        <v>233200</v>
      </c>
      <c r="R809">
        <v>141995.38</v>
      </c>
      <c r="S809">
        <v>91204.62</v>
      </c>
      <c r="T809" t="s">
        <v>31</v>
      </c>
      <c r="U809" t="str">
        <f t="shared" si="36"/>
        <v>2023-10</v>
      </c>
      <c r="V809">
        <f t="shared" si="37"/>
        <v>7</v>
      </c>
      <c r="W809" s="2">
        <f t="shared" si="38"/>
        <v>0.39110042881646651</v>
      </c>
    </row>
    <row r="810" spans="1:23">
      <c r="A810" t="s">
        <v>1530</v>
      </c>
      <c r="B810" s="1">
        <v>45604</v>
      </c>
      <c r="C810" s="1">
        <v>45605</v>
      </c>
      <c r="D810" t="s">
        <v>312</v>
      </c>
      <c r="E810" t="s">
        <v>1531</v>
      </c>
      <c r="F810" t="s">
        <v>23</v>
      </c>
      <c r="G810" t="s">
        <v>95</v>
      </c>
      <c r="H810" t="s">
        <v>96</v>
      </c>
      <c r="I810" t="s">
        <v>26</v>
      </c>
      <c r="J810" t="s">
        <v>47</v>
      </c>
      <c r="K810" t="s">
        <v>48</v>
      </c>
      <c r="L810" t="s">
        <v>66</v>
      </c>
      <c r="M810" t="s">
        <v>67</v>
      </c>
      <c r="N810">
        <v>1</v>
      </c>
      <c r="O810">
        <v>136500</v>
      </c>
      <c r="P810">
        <v>0.25</v>
      </c>
      <c r="Q810">
        <v>102375</v>
      </c>
      <c r="R810">
        <v>75981.11</v>
      </c>
      <c r="S810">
        <v>26393.89</v>
      </c>
      <c r="T810" t="s">
        <v>60</v>
      </c>
      <c r="U810" t="str">
        <f t="shared" si="36"/>
        <v>2024-11</v>
      </c>
      <c r="V810">
        <f t="shared" si="37"/>
        <v>1</v>
      </c>
      <c r="W810" s="2">
        <f t="shared" si="38"/>
        <v>0.25781577533577532</v>
      </c>
    </row>
    <row r="811" spans="1:23">
      <c r="A811" t="s">
        <v>1532</v>
      </c>
      <c r="B811" s="1">
        <v>45951</v>
      </c>
      <c r="C811" s="1">
        <v>45954</v>
      </c>
      <c r="D811" t="s">
        <v>69</v>
      </c>
      <c r="E811" t="s">
        <v>682</v>
      </c>
      <c r="F811" t="s">
        <v>35</v>
      </c>
      <c r="G811" t="s">
        <v>87</v>
      </c>
      <c r="H811" t="s">
        <v>88</v>
      </c>
      <c r="I811" t="s">
        <v>46</v>
      </c>
      <c r="J811" t="s">
        <v>36</v>
      </c>
      <c r="K811" t="s">
        <v>81</v>
      </c>
      <c r="L811" t="s">
        <v>215</v>
      </c>
      <c r="M811" t="s">
        <v>216</v>
      </c>
      <c r="N811">
        <v>3</v>
      </c>
      <c r="O811">
        <v>1935700</v>
      </c>
      <c r="P811">
        <v>0.3</v>
      </c>
      <c r="Q811">
        <v>4064970</v>
      </c>
      <c r="R811">
        <v>3966524.01</v>
      </c>
      <c r="S811">
        <v>98445.99</v>
      </c>
      <c r="T811" t="s">
        <v>31</v>
      </c>
      <c r="U811" t="str">
        <f t="shared" si="36"/>
        <v>2025-10</v>
      </c>
      <c r="V811">
        <f t="shared" si="37"/>
        <v>3</v>
      </c>
      <c r="W811" s="2">
        <f t="shared" si="38"/>
        <v>2.4218134451176761E-2</v>
      </c>
    </row>
    <row r="812" spans="1:23">
      <c r="A812" t="s">
        <v>1533</v>
      </c>
      <c r="B812" s="1">
        <v>45461</v>
      </c>
      <c r="C812" s="1">
        <v>45463</v>
      </c>
      <c r="D812" t="s">
        <v>314</v>
      </c>
      <c r="E812" t="s">
        <v>234</v>
      </c>
      <c r="F812" t="s">
        <v>23</v>
      </c>
      <c r="G812" t="s">
        <v>80</v>
      </c>
      <c r="H812" t="s">
        <v>45</v>
      </c>
      <c r="I812" t="s">
        <v>46</v>
      </c>
      <c r="J812" t="s">
        <v>47</v>
      </c>
      <c r="K812" t="s">
        <v>142</v>
      </c>
      <c r="L812" t="s">
        <v>158</v>
      </c>
      <c r="M812" t="s">
        <v>159</v>
      </c>
      <c r="N812">
        <v>6</v>
      </c>
      <c r="O812">
        <v>8576700</v>
      </c>
      <c r="P812">
        <v>0.2</v>
      </c>
      <c r="Q812">
        <v>41168160</v>
      </c>
      <c r="R812">
        <v>39361473.899999999</v>
      </c>
      <c r="S812">
        <v>1806686.1</v>
      </c>
      <c r="T812" t="s">
        <v>60</v>
      </c>
      <c r="U812" t="str">
        <f t="shared" si="36"/>
        <v>2024-06</v>
      </c>
      <c r="V812">
        <f t="shared" si="37"/>
        <v>2</v>
      </c>
      <c r="W812" s="2">
        <f t="shared" si="38"/>
        <v>4.3885519780335093E-2</v>
      </c>
    </row>
    <row r="813" spans="1:23">
      <c r="A813" t="s">
        <v>1534</v>
      </c>
      <c r="B813" s="1">
        <v>44999</v>
      </c>
      <c r="C813" s="1">
        <v>45002</v>
      </c>
      <c r="D813" t="s">
        <v>1535</v>
      </c>
      <c r="E813" t="s">
        <v>345</v>
      </c>
      <c r="F813" t="s">
        <v>35</v>
      </c>
      <c r="G813" t="s">
        <v>55</v>
      </c>
      <c r="H813" t="s">
        <v>56</v>
      </c>
      <c r="I813" t="s">
        <v>57</v>
      </c>
      <c r="J813" t="s">
        <v>27</v>
      </c>
      <c r="K813" t="s">
        <v>116</v>
      </c>
      <c r="L813" t="s">
        <v>117</v>
      </c>
      <c r="M813" t="s">
        <v>118</v>
      </c>
      <c r="N813">
        <v>5</v>
      </c>
      <c r="O813">
        <v>27100</v>
      </c>
      <c r="P813">
        <v>0</v>
      </c>
      <c r="Q813">
        <v>135500</v>
      </c>
      <c r="R813">
        <v>69318.559999999998</v>
      </c>
      <c r="S813">
        <v>66181.440000000002</v>
      </c>
      <c r="T813" t="s">
        <v>31</v>
      </c>
      <c r="U813" t="str">
        <f t="shared" si="36"/>
        <v>2023-03</v>
      </c>
      <c r="V813">
        <f t="shared" si="37"/>
        <v>3</v>
      </c>
      <c r="W813" s="2">
        <f t="shared" si="38"/>
        <v>0.4884239114391144</v>
      </c>
    </row>
    <row r="814" spans="1:23">
      <c r="A814" t="s">
        <v>1536</v>
      </c>
      <c r="B814" s="1">
        <v>45966</v>
      </c>
      <c r="C814" s="1">
        <v>45968</v>
      </c>
      <c r="D814" t="s">
        <v>213</v>
      </c>
      <c r="E814" t="s">
        <v>879</v>
      </c>
      <c r="F814" t="s">
        <v>23</v>
      </c>
      <c r="G814" t="s">
        <v>64</v>
      </c>
      <c r="H814" t="s">
        <v>65</v>
      </c>
      <c r="I814" t="s">
        <v>57</v>
      </c>
      <c r="J814" t="s">
        <v>27</v>
      </c>
      <c r="K814" t="s">
        <v>116</v>
      </c>
      <c r="L814" t="s">
        <v>117</v>
      </c>
      <c r="M814" t="s">
        <v>118</v>
      </c>
      <c r="N814">
        <v>1</v>
      </c>
      <c r="O814">
        <v>24600</v>
      </c>
      <c r="P814">
        <v>0.15</v>
      </c>
      <c r="Q814">
        <v>20910</v>
      </c>
      <c r="R814">
        <v>12722.72</v>
      </c>
      <c r="S814">
        <v>8187.28</v>
      </c>
      <c r="T814" t="s">
        <v>73</v>
      </c>
      <c r="U814" t="str">
        <f t="shared" si="36"/>
        <v>2025-11</v>
      </c>
      <c r="V814">
        <f t="shared" si="37"/>
        <v>2</v>
      </c>
      <c r="W814" s="2">
        <f t="shared" si="38"/>
        <v>0.39154854136776662</v>
      </c>
    </row>
    <row r="815" spans="1:23">
      <c r="A815" t="s">
        <v>1537</v>
      </c>
      <c r="B815" s="1">
        <v>44964</v>
      </c>
      <c r="C815" s="1">
        <v>44969</v>
      </c>
      <c r="D815" t="s">
        <v>250</v>
      </c>
      <c r="E815" t="s">
        <v>678</v>
      </c>
      <c r="F815" t="s">
        <v>35</v>
      </c>
      <c r="G815" t="s">
        <v>169</v>
      </c>
      <c r="H815" t="s">
        <v>157</v>
      </c>
      <c r="I815" t="s">
        <v>57</v>
      </c>
      <c r="J815" t="s">
        <v>36</v>
      </c>
      <c r="K815" t="s">
        <v>89</v>
      </c>
      <c r="L815" t="s">
        <v>90</v>
      </c>
      <c r="M815" t="s">
        <v>91</v>
      </c>
      <c r="N815">
        <v>3</v>
      </c>
      <c r="O815">
        <v>3215800</v>
      </c>
      <c r="P815">
        <v>0</v>
      </c>
      <c r="Q815">
        <v>9647400</v>
      </c>
      <c r="R815">
        <v>6519108.25</v>
      </c>
      <c r="S815">
        <v>3128291.75</v>
      </c>
      <c r="T815" t="s">
        <v>40</v>
      </c>
      <c r="U815" t="str">
        <f t="shared" si="36"/>
        <v>2023-02</v>
      </c>
      <c r="V815">
        <f t="shared" si="37"/>
        <v>5</v>
      </c>
      <c r="W815" s="2">
        <f t="shared" si="38"/>
        <v>0.32426267699069178</v>
      </c>
    </row>
    <row r="816" spans="1:23">
      <c r="A816" t="s">
        <v>1538</v>
      </c>
      <c r="B816" s="1">
        <v>45629</v>
      </c>
      <c r="C816" s="1">
        <v>45633</v>
      </c>
      <c r="D816" t="s">
        <v>545</v>
      </c>
      <c r="E816" t="s">
        <v>1539</v>
      </c>
      <c r="F816" t="s">
        <v>23</v>
      </c>
      <c r="G816" t="s">
        <v>24</v>
      </c>
      <c r="H816" t="s">
        <v>25</v>
      </c>
      <c r="I816" t="s">
        <v>26</v>
      </c>
      <c r="J816" t="s">
        <v>27</v>
      </c>
      <c r="K816" t="s">
        <v>28</v>
      </c>
      <c r="L816" t="s">
        <v>29</v>
      </c>
      <c r="M816" t="s">
        <v>30</v>
      </c>
      <c r="N816">
        <v>1</v>
      </c>
      <c r="O816">
        <v>72400</v>
      </c>
      <c r="P816">
        <v>0.2</v>
      </c>
      <c r="Q816">
        <v>57920</v>
      </c>
      <c r="R816">
        <v>41172.53</v>
      </c>
      <c r="S816">
        <v>16747.47</v>
      </c>
      <c r="T816" t="s">
        <v>31</v>
      </c>
      <c r="U816" t="str">
        <f t="shared" si="36"/>
        <v>2024-12</v>
      </c>
      <c r="V816">
        <f t="shared" si="37"/>
        <v>4</v>
      </c>
      <c r="W816" s="2">
        <f t="shared" si="38"/>
        <v>0.28914830801104974</v>
      </c>
    </row>
    <row r="817" spans="1:23">
      <c r="A817" t="s">
        <v>1540</v>
      </c>
      <c r="B817" s="1">
        <v>45438</v>
      </c>
      <c r="C817" s="1">
        <v>45445</v>
      </c>
      <c r="D817" t="s">
        <v>1541</v>
      </c>
      <c r="E817" t="s">
        <v>391</v>
      </c>
      <c r="F817" t="s">
        <v>23</v>
      </c>
      <c r="G817" t="s">
        <v>80</v>
      </c>
      <c r="H817" t="s">
        <v>45</v>
      </c>
      <c r="I817" t="s">
        <v>46</v>
      </c>
      <c r="J817" t="s">
        <v>47</v>
      </c>
      <c r="K817" t="s">
        <v>142</v>
      </c>
      <c r="L817" t="s">
        <v>158</v>
      </c>
      <c r="M817" t="s">
        <v>159</v>
      </c>
      <c r="N817">
        <v>1</v>
      </c>
      <c r="O817">
        <v>8010800</v>
      </c>
      <c r="P817">
        <v>0.1</v>
      </c>
      <c r="Q817">
        <v>7209720</v>
      </c>
      <c r="R817">
        <v>6134401.29</v>
      </c>
      <c r="S817">
        <v>1075318.71</v>
      </c>
      <c r="T817" t="s">
        <v>60</v>
      </c>
      <c r="U817" t="str">
        <f t="shared" si="36"/>
        <v>2024-05</v>
      </c>
      <c r="V817">
        <f t="shared" si="37"/>
        <v>7</v>
      </c>
      <c r="W817" s="2">
        <f t="shared" si="38"/>
        <v>0.14914847039829562</v>
      </c>
    </row>
    <row r="818" spans="1:23">
      <c r="A818" t="s">
        <v>1542</v>
      </c>
      <c r="B818" s="1">
        <v>45741</v>
      </c>
      <c r="C818" s="1">
        <v>45745</v>
      </c>
      <c r="D818" t="s">
        <v>610</v>
      </c>
      <c r="E818" t="s">
        <v>1543</v>
      </c>
      <c r="F818" t="s">
        <v>23</v>
      </c>
      <c r="G818" t="s">
        <v>44</v>
      </c>
      <c r="H818" t="s">
        <v>45</v>
      </c>
      <c r="I818" t="s">
        <v>46</v>
      </c>
      <c r="J818" t="s">
        <v>27</v>
      </c>
      <c r="K818" t="s">
        <v>100</v>
      </c>
      <c r="L818" t="s">
        <v>105</v>
      </c>
      <c r="M818" t="s">
        <v>106</v>
      </c>
      <c r="N818">
        <v>2</v>
      </c>
      <c r="O818">
        <v>80700</v>
      </c>
      <c r="P818">
        <v>0.05</v>
      </c>
      <c r="Q818">
        <v>153330</v>
      </c>
      <c r="R818">
        <v>100067.77</v>
      </c>
      <c r="S818">
        <v>53262.23</v>
      </c>
      <c r="T818" t="s">
        <v>73</v>
      </c>
      <c r="U818" t="str">
        <f t="shared" si="36"/>
        <v>2025-03</v>
      </c>
      <c r="V818">
        <f t="shared" si="37"/>
        <v>4</v>
      </c>
      <c r="W818" s="2">
        <f t="shared" si="38"/>
        <v>0.34736992108524101</v>
      </c>
    </row>
    <row r="819" spans="1:23">
      <c r="A819" t="s">
        <v>1544</v>
      </c>
      <c r="B819" s="1">
        <v>45546</v>
      </c>
      <c r="C819" s="1">
        <v>45549</v>
      </c>
      <c r="D819" t="s">
        <v>1104</v>
      </c>
      <c r="E819" t="s">
        <v>791</v>
      </c>
      <c r="F819" t="s">
        <v>35</v>
      </c>
      <c r="G819" t="s">
        <v>24</v>
      </c>
      <c r="H819" t="s">
        <v>25</v>
      </c>
      <c r="I819" t="s">
        <v>26</v>
      </c>
      <c r="J819" t="s">
        <v>27</v>
      </c>
      <c r="K819" t="s">
        <v>179</v>
      </c>
      <c r="L819" t="s">
        <v>244</v>
      </c>
      <c r="M819" t="s">
        <v>245</v>
      </c>
      <c r="N819">
        <v>2</v>
      </c>
      <c r="O819">
        <v>38700</v>
      </c>
      <c r="P819">
        <v>0</v>
      </c>
      <c r="Q819">
        <v>77400</v>
      </c>
      <c r="R819">
        <v>38508.92</v>
      </c>
      <c r="S819">
        <v>38891.08</v>
      </c>
      <c r="T819" t="s">
        <v>60</v>
      </c>
      <c r="U819" t="str">
        <f t="shared" si="36"/>
        <v>2024-09</v>
      </c>
      <c r="V819">
        <f t="shared" si="37"/>
        <v>3</v>
      </c>
      <c r="W819" s="2">
        <f t="shared" si="38"/>
        <v>0.50246873385012925</v>
      </c>
    </row>
    <row r="820" spans="1:23">
      <c r="A820" t="s">
        <v>1545</v>
      </c>
      <c r="B820" s="1">
        <v>45922</v>
      </c>
      <c r="C820" s="1">
        <v>45925</v>
      </c>
      <c r="D820" t="s">
        <v>192</v>
      </c>
      <c r="E820" t="s">
        <v>424</v>
      </c>
      <c r="F820" t="s">
        <v>23</v>
      </c>
      <c r="G820" t="s">
        <v>87</v>
      </c>
      <c r="H820" t="s">
        <v>88</v>
      </c>
      <c r="I820" t="s">
        <v>46</v>
      </c>
      <c r="J820" t="s">
        <v>47</v>
      </c>
      <c r="K820" t="s">
        <v>173</v>
      </c>
      <c r="L820" t="s">
        <v>203</v>
      </c>
      <c r="M820" t="s">
        <v>204</v>
      </c>
      <c r="N820">
        <v>1</v>
      </c>
      <c r="O820">
        <v>3390300</v>
      </c>
      <c r="P820">
        <v>0.15</v>
      </c>
      <c r="Q820">
        <v>2881755</v>
      </c>
      <c r="R820">
        <v>2459810.9</v>
      </c>
      <c r="S820">
        <v>421944.1</v>
      </c>
      <c r="T820" t="s">
        <v>73</v>
      </c>
      <c r="U820" t="str">
        <f t="shared" si="36"/>
        <v>2025-09</v>
      </c>
      <c r="V820">
        <f t="shared" si="37"/>
        <v>3</v>
      </c>
      <c r="W820" s="2">
        <f t="shared" si="38"/>
        <v>0.14641914388974772</v>
      </c>
    </row>
    <row r="821" spans="1:23">
      <c r="A821" t="s">
        <v>1546</v>
      </c>
      <c r="B821" s="1">
        <v>45856</v>
      </c>
      <c r="C821" s="1">
        <v>45857</v>
      </c>
      <c r="D821" t="s">
        <v>299</v>
      </c>
      <c r="E821" t="s">
        <v>214</v>
      </c>
      <c r="F821" t="s">
        <v>23</v>
      </c>
      <c r="G821" t="s">
        <v>95</v>
      </c>
      <c r="H821" t="s">
        <v>96</v>
      </c>
      <c r="I821" t="s">
        <v>26</v>
      </c>
      <c r="J821" t="s">
        <v>47</v>
      </c>
      <c r="K821" t="s">
        <v>142</v>
      </c>
      <c r="L821" t="s">
        <v>158</v>
      </c>
      <c r="M821" t="s">
        <v>159</v>
      </c>
      <c r="N821">
        <v>2</v>
      </c>
      <c r="O821">
        <v>9121000</v>
      </c>
      <c r="P821">
        <v>0</v>
      </c>
      <c r="Q821">
        <v>18242000</v>
      </c>
      <c r="R821">
        <v>15098061.130000001</v>
      </c>
      <c r="S821">
        <v>3143938.87</v>
      </c>
      <c r="T821" t="s">
        <v>40</v>
      </c>
      <c r="U821" t="str">
        <f t="shared" si="36"/>
        <v>2025-07</v>
      </c>
      <c r="V821">
        <f t="shared" si="37"/>
        <v>1</v>
      </c>
      <c r="W821" s="2">
        <f t="shared" si="38"/>
        <v>0.17234617202061178</v>
      </c>
    </row>
    <row r="822" spans="1:23">
      <c r="A822" t="s">
        <v>1547</v>
      </c>
      <c r="B822" s="1">
        <v>45710</v>
      </c>
      <c r="C822" s="1">
        <v>45714</v>
      </c>
      <c r="D822" t="s">
        <v>477</v>
      </c>
      <c r="E822" t="s">
        <v>605</v>
      </c>
      <c r="F822" t="s">
        <v>23</v>
      </c>
      <c r="G822" t="s">
        <v>24</v>
      </c>
      <c r="H822" t="s">
        <v>25</v>
      </c>
      <c r="I822" t="s">
        <v>26</v>
      </c>
      <c r="J822" t="s">
        <v>36</v>
      </c>
      <c r="K822" t="s">
        <v>81</v>
      </c>
      <c r="L822" t="s">
        <v>82</v>
      </c>
      <c r="M822" t="s">
        <v>83</v>
      </c>
      <c r="N822">
        <v>2</v>
      </c>
      <c r="O822">
        <v>679400</v>
      </c>
      <c r="P822">
        <v>0</v>
      </c>
      <c r="Q822">
        <v>1358800</v>
      </c>
      <c r="R822">
        <v>912408.78</v>
      </c>
      <c r="S822">
        <v>446391.22</v>
      </c>
      <c r="T822" t="s">
        <v>40</v>
      </c>
      <c r="U822" t="str">
        <f t="shared" si="36"/>
        <v>2025-02</v>
      </c>
      <c r="V822">
        <f t="shared" si="37"/>
        <v>4</v>
      </c>
      <c r="W822" s="2">
        <f t="shared" si="38"/>
        <v>0.32851870768324992</v>
      </c>
    </row>
    <row r="823" spans="1:23">
      <c r="A823" t="s">
        <v>1548</v>
      </c>
      <c r="B823" s="1">
        <v>45615</v>
      </c>
      <c r="C823" s="1">
        <v>45622</v>
      </c>
      <c r="D823" t="s">
        <v>357</v>
      </c>
      <c r="E823" t="s">
        <v>930</v>
      </c>
      <c r="F823" t="s">
        <v>23</v>
      </c>
      <c r="G823" t="s">
        <v>140</v>
      </c>
      <c r="H823" t="s">
        <v>141</v>
      </c>
      <c r="I823" t="s">
        <v>46</v>
      </c>
      <c r="J823" t="s">
        <v>27</v>
      </c>
      <c r="K823" t="s">
        <v>28</v>
      </c>
      <c r="L823" t="s">
        <v>29</v>
      </c>
      <c r="M823" t="s">
        <v>30</v>
      </c>
      <c r="N823">
        <v>5</v>
      </c>
      <c r="O823">
        <v>72900</v>
      </c>
      <c r="P823">
        <v>0.25</v>
      </c>
      <c r="Q823">
        <v>273375</v>
      </c>
      <c r="R823">
        <v>206240.85</v>
      </c>
      <c r="S823">
        <v>67134.149999999994</v>
      </c>
      <c r="T823" t="s">
        <v>40</v>
      </c>
      <c r="U823" t="str">
        <f t="shared" si="36"/>
        <v>2024-11</v>
      </c>
      <c r="V823">
        <f t="shared" si="37"/>
        <v>7</v>
      </c>
      <c r="W823" s="2">
        <f t="shared" si="38"/>
        <v>0.2455753086419753</v>
      </c>
    </row>
    <row r="824" spans="1:23">
      <c r="A824" t="s">
        <v>1549</v>
      </c>
      <c r="B824" s="1">
        <v>45515</v>
      </c>
      <c r="C824" s="1">
        <v>45522</v>
      </c>
      <c r="D824" t="s">
        <v>756</v>
      </c>
      <c r="E824" t="s">
        <v>408</v>
      </c>
      <c r="F824" t="s">
        <v>35</v>
      </c>
      <c r="G824" t="s">
        <v>169</v>
      </c>
      <c r="H824" t="s">
        <v>157</v>
      </c>
      <c r="I824" t="s">
        <v>57</v>
      </c>
      <c r="J824" t="s">
        <v>27</v>
      </c>
      <c r="K824" t="s">
        <v>116</v>
      </c>
      <c r="L824" t="s">
        <v>207</v>
      </c>
      <c r="M824" t="s">
        <v>208</v>
      </c>
      <c r="N824">
        <v>1</v>
      </c>
      <c r="O824">
        <v>113100</v>
      </c>
      <c r="P824">
        <v>0.15</v>
      </c>
      <c r="Q824">
        <v>96135</v>
      </c>
      <c r="R824">
        <v>68992.97</v>
      </c>
      <c r="S824">
        <v>27142.03</v>
      </c>
      <c r="T824" t="s">
        <v>60</v>
      </c>
      <c r="U824" t="str">
        <f t="shared" si="36"/>
        <v>2024-08</v>
      </c>
      <c r="V824">
        <f t="shared" si="37"/>
        <v>7</v>
      </c>
      <c r="W824" s="2">
        <f t="shared" si="38"/>
        <v>0.28233244916003536</v>
      </c>
    </row>
    <row r="825" spans="1:23">
      <c r="A825" t="s">
        <v>1550</v>
      </c>
      <c r="B825" s="1">
        <v>45501</v>
      </c>
      <c r="C825" s="1">
        <v>45508</v>
      </c>
      <c r="D825" t="s">
        <v>275</v>
      </c>
      <c r="E825" t="s">
        <v>388</v>
      </c>
      <c r="F825" t="s">
        <v>54</v>
      </c>
      <c r="G825" t="s">
        <v>44</v>
      </c>
      <c r="H825" t="s">
        <v>45</v>
      </c>
      <c r="I825" t="s">
        <v>46</v>
      </c>
      <c r="J825" t="s">
        <v>27</v>
      </c>
      <c r="K825" t="s">
        <v>179</v>
      </c>
      <c r="L825" t="s">
        <v>244</v>
      </c>
      <c r="M825" t="s">
        <v>245</v>
      </c>
      <c r="N825">
        <v>2</v>
      </c>
      <c r="O825">
        <v>37500</v>
      </c>
      <c r="P825">
        <v>0.1</v>
      </c>
      <c r="Q825">
        <v>67500</v>
      </c>
      <c r="R825">
        <v>37388.26</v>
      </c>
      <c r="S825">
        <v>30111.74</v>
      </c>
      <c r="T825" t="s">
        <v>60</v>
      </c>
      <c r="U825" t="str">
        <f t="shared" si="36"/>
        <v>2024-07</v>
      </c>
      <c r="V825">
        <f t="shared" si="37"/>
        <v>7</v>
      </c>
      <c r="W825" s="2">
        <f t="shared" si="38"/>
        <v>0.44609985185185186</v>
      </c>
    </row>
    <row r="826" spans="1:23">
      <c r="A826" t="s">
        <v>1551</v>
      </c>
      <c r="B826" s="1">
        <v>44952</v>
      </c>
      <c r="C826" s="1">
        <v>44953</v>
      </c>
      <c r="D826" t="s">
        <v>485</v>
      </c>
      <c r="E826" t="s">
        <v>279</v>
      </c>
      <c r="F826" t="s">
        <v>54</v>
      </c>
      <c r="G826" t="s">
        <v>95</v>
      </c>
      <c r="H826" t="s">
        <v>96</v>
      </c>
      <c r="I826" t="s">
        <v>26</v>
      </c>
      <c r="J826" t="s">
        <v>47</v>
      </c>
      <c r="K826" t="s">
        <v>48</v>
      </c>
      <c r="L826" t="s">
        <v>49</v>
      </c>
      <c r="M826" t="s">
        <v>50</v>
      </c>
      <c r="N826">
        <v>2</v>
      </c>
      <c r="O826">
        <v>483400</v>
      </c>
      <c r="P826">
        <v>0.05</v>
      </c>
      <c r="Q826">
        <v>918460</v>
      </c>
      <c r="R826">
        <v>644710.93999999994</v>
      </c>
      <c r="S826">
        <v>273749.06</v>
      </c>
      <c r="T826" t="s">
        <v>40</v>
      </c>
      <c r="U826" t="str">
        <f t="shared" si="36"/>
        <v>2023-01</v>
      </c>
      <c r="V826">
        <f t="shared" si="37"/>
        <v>1</v>
      </c>
      <c r="W826" s="2">
        <f t="shared" si="38"/>
        <v>0.29805223961849181</v>
      </c>
    </row>
    <row r="827" spans="1:23">
      <c r="A827" t="s">
        <v>1552</v>
      </c>
      <c r="B827" s="1">
        <v>45373</v>
      </c>
      <c r="C827" s="1">
        <v>45377</v>
      </c>
      <c r="D827" t="s">
        <v>845</v>
      </c>
      <c r="E827" t="s">
        <v>1214</v>
      </c>
      <c r="F827" t="s">
        <v>54</v>
      </c>
      <c r="G827" t="s">
        <v>95</v>
      </c>
      <c r="H827" t="s">
        <v>96</v>
      </c>
      <c r="I827" t="s">
        <v>26</v>
      </c>
      <c r="J827" t="s">
        <v>47</v>
      </c>
      <c r="K827" t="s">
        <v>142</v>
      </c>
      <c r="L827" t="s">
        <v>143</v>
      </c>
      <c r="M827" t="s">
        <v>144</v>
      </c>
      <c r="N827">
        <v>8</v>
      </c>
      <c r="O827">
        <v>6081100</v>
      </c>
      <c r="P827">
        <v>0</v>
      </c>
      <c r="Q827">
        <v>48648800</v>
      </c>
      <c r="R827">
        <v>40953557.799999997</v>
      </c>
      <c r="S827">
        <v>7695242.2000000002</v>
      </c>
      <c r="T827" t="s">
        <v>60</v>
      </c>
      <c r="U827" t="str">
        <f t="shared" si="36"/>
        <v>2024-03</v>
      </c>
      <c r="V827">
        <f t="shared" si="37"/>
        <v>4</v>
      </c>
      <c r="W827" s="2">
        <f t="shared" si="38"/>
        <v>0.15817948644159774</v>
      </c>
    </row>
    <row r="828" spans="1:23">
      <c r="A828" t="s">
        <v>1553</v>
      </c>
      <c r="B828" s="1">
        <v>45187</v>
      </c>
      <c r="C828" s="1">
        <v>45189</v>
      </c>
      <c r="D828" t="s">
        <v>686</v>
      </c>
      <c r="E828" t="s">
        <v>199</v>
      </c>
      <c r="F828" t="s">
        <v>35</v>
      </c>
      <c r="G828" t="s">
        <v>55</v>
      </c>
      <c r="H828" t="s">
        <v>56</v>
      </c>
      <c r="I828" t="s">
        <v>57</v>
      </c>
      <c r="J828" t="s">
        <v>27</v>
      </c>
      <c r="K828" t="s">
        <v>28</v>
      </c>
      <c r="L828" t="s">
        <v>71</v>
      </c>
      <c r="M828" t="s">
        <v>72</v>
      </c>
      <c r="N828">
        <v>1</v>
      </c>
      <c r="O828">
        <v>40900</v>
      </c>
      <c r="P828">
        <v>0.1</v>
      </c>
      <c r="Q828">
        <v>36810</v>
      </c>
      <c r="R828">
        <v>22583.94</v>
      </c>
      <c r="S828">
        <v>14226.06</v>
      </c>
      <c r="T828" t="s">
        <v>73</v>
      </c>
      <c r="U828" t="str">
        <f t="shared" si="36"/>
        <v>2023-09</v>
      </c>
      <c r="V828">
        <f t="shared" si="37"/>
        <v>2</v>
      </c>
      <c r="W828" s="2">
        <f t="shared" si="38"/>
        <v>0.38647269763651182</v>
      </c>
    </row>
    <row r="829" spans="1:23">
      <c r="A829" t="s">
        <v>1554</v>
      </c>
      <c r="B829" s="1">
        <v>45393</v>
      </c>
      <c r="C829" s="1">
        <v>45394</v>
      </c>
      <c r="D829" t="s">
        <v>93</v>
      </c>
      <c r="E829" t="s">
        <v>602</v>
      </c>
      <c r="F829" t="s">
        <v>23</v>
      </c>
      <c r="G829" t="s">
        <v>95</v>
      </c>
      <c r="H829" t="s">
        <v>96</v>
      </c>
      <c r="I829" t="s">
        <v>26</v>
      </c>
      <c r="J829" t="s">
        <v>27</v>
      </c>
      <c r="K829" t="s">
        <v>179</v>
      </c>
      <c r="L829" t="s">
        <v>244</v>
      </c>
      <c r="M829" t="s">
        <v>245</v>
      </c>
      <c r="N829">
        <v>2</v>
      </c>
      <c r="O829">
        <v>34600</v>
      </c>
      <c r="P829">
        <v>0</v>
      </c>
      <c r="Q829">
        <v>69200</v>
      </c>
      <c r="R829">
        <v>33361.019999999997</v>
      </c>
      <c r="S829">
        <v>35838.980000000003</v>
      </c>
      <c r="T829" t="s">
        <v>60</v>
      </c>
      <c r="U829" t="str">
        <f t="shared" si="36"/>
        <v>2024-04</v>
      </c>
      <c r="V829">
        <f t="shared" si="37"/>
        <v>1</v>
      </c>
      <c r="W829" s="2">
        <f t="shared" si="38"/>
        <v>0.5179043352601157</v>
      </c>
    </row>
    <row r="830" spans="1:23">
      <c r="A830" t="s">
        <v>1555</v>
      </c>
      <c r="B830" s="1">
        <v>45973</v>
      </c>
      <c r="C830" s="1">
        <v>45974</v>
      </c>
      <c r="D830" t="s">
        <v>958</v>
      </c>
      <c r="E830" t="s">
        <v>682</v>
      </c>
      <c r="F830" t="s">
        <v>23</v>
      </c>
      <c r="G830" t="s">
        <v>55</v>
      </c>
      <c r="H830" t="s">
        <v>56</v>
      </c>
      <c r="I830" t="s">
        <v>57</v>
      </c>
      <c r="J830" t="s">
        <v>47</v>
      </c>
      <c r="K830" t="s">
        <v>48</v>
      </c>
      <c r="L830" t="s">
        <v>49</v>
      </c>
      <c r="M830" t="s">
        <v>50</v>
      </c>
      <c r="N830">
        <v>1</v>
      </c>
      <c r="O830">
        <v>482000</v>
      </c>
      <c r="P830">
        <v>0</v>
      </c>
      <c r="Q830">
        <v>482000</v>
      </c>
      <c r="R830">
        <v>284857.37</v>
      </c>
      <c r="S830">
        <v>197142.63</v>
      </c>
      <c r="T830" t="s">
        <v>40</v>
      </c>
      <c r="U830" t="str">
        <f t="shared" si="36"/>
        <v>2025-11</v>
      </c>
      <c r="V830">
        <f t="shared" si="37"/>
        <v>1</v>
      </c>
      <c r="W830" s="2">
        <f t="shared" si="38"/>
        <v>0.40900960580912865</v>
      </c>
    </row>
    <row r="831" spans="1:23">
      <c r="A831" t="s">
        <v>1556</v>
      </c>
      <c r="B831" s="1">
        <v>45694</v>
      </c>
      <c r="C831" s="1">
        <v>45698</v>
      </c>
      <c r="D831" t="s">
        <v>710</v>
      </c>
      <c r="E831" t="s">
        <v>70</v>
      </c>
      <c r="F831" t="s">
        <v>23</v>
      </c>
      <c r="G831" t="s">
        <v>55</v>
      </c>
      <c r="H831" t="s">
        <v>56</v>
      </c>
      <c r="I831" t="s">
        <v>57</v>
      </c>
      <c r="J831" t="s">
        <v>27</v>
      </c>
      <c r="K831" t="s">
        <v>179</v>
      </c>
      <c r="L831" t="s">
        <v>244</v>
      </c>
      <c r="M831" t="s">
        <v>245</v>
      </c>
      <c r="N831">
        <v>1</v>
      </c>
      <c r="O831">
        <v>42000</v>
      </c>
      <c r="P831">
        <v>0.25</v>
      </c>
      <c r="Q831">
        <v>31500</v>
      </c>
      <c r="R831">
        <v>20019.71</v>
      </c>
      <c r="S831">
        <v>11480.29</v>
      </c>
      <c r="T831" t="s">
        <v>60</v>
      </c>
      <c r="U831" t="str">
        <f t="shared" si="36"/>
        <v>2025-02</v>
      </c>
      <c r="V831">
        <f t="shared" si="37"/>
        <v>4</v>
      </c>
      <c r="W831" s="2">
        <f t="shared" si="38"/>
        <v>0.36445365079365083</v>
      </c>
    </row>
    <row r="832" spans="1:23">
      <c r="A832" t="s">
        <v>1557</v>
      </c>
      <c r="B832" s="1">
        <v>45973</v>
      </c>
      <c r="C832" s="1">
        <v>45979</v>
      </c>
      <c r="D832" t="s">
        <v>438</v>
      </c>
      <c r="E832" t="s">
        <v>1180</v>
      </c>
      <c r="F832" t="s">
        <v>23</v>
      </c>
      <c r="G832" t="s">
        <v>24</v>
      </c>
      <c r="H832" t="s">
        <v>25</v>
      </c>
      <c r="I832" t="s">
        <v>26</v>
      </c>
      <c r="J832" t="s">
        <v>27</v>
      </c>
      <c r="K832" t="s">
        <v>179</v>
      </c>
      <c r="L832" t="s">
        <v>180</v>
      </c>
      <c r="M832" t="s">
        <v>181</v>
      </c>
      <c r="N832">
        <v>3</v>
      </c>
      <c r="O832">
        <v>52200</v>
      </c>
      <c r="P832">
        <v>0.15</v>
      </c>
      <c r="Q832">
        <v>133110</v>
      </c>
      <c r="R832">
        <v>85852.93</v>
      </c>
      <c r="S832">
        <v>47257.07</v>
      </c>
      <c r="T832" t="s">
        <v>31</v>
      </c>
      <c r="U832" t="str">
        <f t="shared" si="36"/>
        <v>2025-11</v>
      </c>
      <c r="V832">
        <f t="shared" si="37"/>
        <v>6</v>
      </c>
      <c r="W832" s="2">
        <f t="shared" si="38"/>
        <v>0.35502268800240405</v>
      </c>
    </row>
    <row r="833" spans="1:23">
      <c r="A833" t="s">
        <v>1558</v>
      </c>
      <c r="B833" s="1">
        <v>45958</v>
      </c>
      <c r="C833" s="1">
        <v>45963</v>
      </c>
      <c r="D833" t="s">
        <v>195</v>
      </c>
      <c r="E833" t="s">
        <v>1296</v>
      </c>
      <c r="F833" t="s">
        <v>35</v>
      </c>
      <c r="G833" t="s">
        <v>87</v>
      </c>
      <c r="H833" t="s">
        <v>88</v>
      </c>
      <c r="I833" t="s">
        <v>46</v>
      </c>
      <c r="J833" t="s">
        <v>27</v>
      </c>
      <c r="K833" t="s">
        <v>116</v>
      </c>
      <c r="L833" t="s">
        <v>117</v>
      </c>
      <c r="M833" t="s">
        <v>118</v>
      </c>
      <c r="N833">
        <v>3</v>
      </c>
      <c r="O833">
        <v>28200</v>
      </c>
      <c r="P833">
        <v>0.1</v>
      </c>
      <c r="Q833">
        <v>76140</v>
      </c>
      <c r="R833">
        <v>41089.29</v>
      </c>
      <c r="S833">
        <v>35050.71</v>
      </c>
      <c r="T833" t="s">
        <v>31</v>
      </c>
      <c r="U833" t="str">
        <f t="shared" si="36"/>
        <v>2025-10</v>
      </c>
      <c r="V833">
        <f t="shared" si="37"/>
        <v>5</v>
      </c>
      <c r="W833" s="2">
        <f t="shared" si="38"/>
        <v>0.46034554767533492</v>
      </c>
    </row>
    <row r="834" spans="1:23">
      <c r="A834" t="s">
        <v>1559</v>
      </c>
      <c r="B834" s="1">
        <v>45527</v>
      </c>
      <c r="C834" s="1">
        <v>45529</v>
      </c>
      <c r="D834" t="s">
        <v>564</v>
      </c>
      <c r="E834" t="s">
        <v>486</v>
      </c>
      <c r="F834" t="s">
        <v>23</v>
      </c>
      <c r="G834" t="s">
        <v>24</v>
      </c>
      <c r="H834" t="s">
        <v>25</v>
      </c>
      <c r="I834" t="s">
        <v>26</v>
      </c>
      <c r="J834" t="s">
        <v>47</v>
      </c>
      <c r="K834" t="s">
        <v>48</v>
      </c>
      <c r="L834" t="s">
        <v>49</v>
      </c>
      <c r="M834" t="s">
        <v>50</v>
      </c>
      <c r="N834">
        <v>3</v>
      </c>
      <c r="O834">
        <v>484000</v>
      </c>
      <c r="P834">
        <v>0.25</v>
      </c>
      <c r="Q834">
        <v>1089000</v>
      </c>
      <c r="R834">
        <v>903202.11</v>
      </c>
      <c r="S834">
        <v>185797.89</v>
      </c>
      <c r="T834" t="s">
        <v>31</v>
      </c>
      <c r="U834" t="str">
        <f t="shared" si="36"/>
        <v>2024-08</v>
      </c>
      <c r="V834">
        <f t="shared" si="37"/>
        <v>2</v>
      </c>
      <c r="W834" s="2">
        <f t="shared" si="38"/>
        <v>0.17061330578512399</v>
      </c>
    </row>
    <row r="835" spans="1:23">
      <c r="A835" t="s">
        <v>1560</v>
      </c>
      <c r="B835" s="1">
        <v>45962</v>
      </c>
      <c r="C835" s="1">
        <v>45963</v>
      </c>
      <c r="D835" t="s">
        <v>548</v>
      </c>
      <c r="E835" t="s">
        <v>789</v>
      </c>
      <c r="F835" t="s">
        <v>23</v>
      </c>
      <c r="G835" t="s">
        <v>55</v>
      </c>
      <c r="H835" t="s">
        <v>56</v>
      </c>
      <c r="I835" t="s">
        <v>57</v>
      </c>
      <c r="J835" t="s">
        <v>27</v>
      </c>
      <c r="K835" t="s">
        <v>116</v>
      </c>
      <c r="L835" t="s">
        <v>207</v>
      </c>
      <c r="M835" t="s">
        <v>208</v>
      </c>
      <c r="N835">
        <v>1</v>
      </c>
      <c r="O835">
        <v>124400</v>
      </c>
      <c r="P835">
        <v>0.3</v>
      </c>
      <c r="Q835">
        <v>87080</v>
      </c>
      <c r="R835">
        <v>75895.899999999994</v>
      </c>
      <c r="S835">
        <v>11184.1</v>
      </c>
      <c r="T835" t="s">
        <v>40</v>
      </c>
      <c r="U835" t="str">
        <f t="shared" ref="U835:U898" si="39">TEXT(B835,"yyyy-mm")</f>
        <v>2025-11</v>
      </c>
      <c r="V835">
        <f t="shared" ref="V835:V898" si="40">C835-B835</f>
        <v>1</v>
      </c>
      <c r="W835" s="2">
        <f t="shared" ref="W835:W898" si="41">IF(Q835=0,0,S835/Q835)</f>
        <v>0.12843477262287553</v>
      </c>
    </row>
    <row r="836" spans="1:23">
      <c r="A836" t="s">
        <v>1561</v>
      </c>
      <c r="B836" s="1">
        <v>45761</v>
      </c>
      <c r="C836" s="1">
        <v>45767</v>
      </c>
      <c r="D836" t="s">
        <v>1427</v>
      </c>
      <c r="E836" t="s">
        <v>1562</v>
      </c>
      <c r="F836" t="s">
        <v>23</v>
      </c>
      <c r="G836" t="s">
        <v>55</v>
      </c>
      <c r="H836" t="s">
        <v>56</v>
      </c>
      <c r="I836" t="s">
        <v>57</v>
      </c>
      <c r="J836" t="s">
        <v>36</v>
      </c>
      <c r="K836" t="s">
        <v>81</v>
      </c>
      <c r="L836" t="s">
        <v>82</v>
      </c>
      <c r="M836" t="s">
        <v>83</v>
      </c>
      <c r="N836">
        <v>2</v>
      </c>
      <c r="O836">
        <v>601900</v>
      </c>
      <c r="P836">
        <v>0.05</v>
      </c>
      <c r="Q836">
        <v>1143610</v>
      </c>
      <c r="R836">
        <v>782491.86</v>
      </c>
      <c r="S836">
        <v>361118.14</v>
      </c>
      <c r="T836" t="s">
        <v>60</v>
      </c>
      <c r="U836" t="str">
        <f t="shared" si="39"/>
        <v>2025-04</v>
      </c>
      <c r="V836">
        <f t="shared" si="40"/>
        <v>6</v>
      </c>
      <c r="W836" s="2">
        <f t="shared" si="41"/>
        <v>0.31577035877615622</v>
      </c>
    </row>
    <row r="837" spans="1:23">
      <c r="A837" t="s">
        <v>1563</v>
      </c>
      <c r="B837" s="1">
        <v>45332</v>
      </c>
      <c r="C837" s="1">
        <v>45334</v>
      </c>
      <c r="D837" t="s">
        <v>898</v>
      </c>
      <c r="E837" t="s">
        <v>504</v>
      </c>
      <c r="F837" t="s">
        <v>23</v>
      </c>
      <c r="G837" t="s">
        <v>80</v>
      </c>
      <c r="H837" t="s">
        <v>45</v>
      </c>
      <c r="I837" t="s">
        <v>46</v>
      </c>
      <c r="J837" t="s">
        <v>27</v>
      </c>
      <c r="K837" t="s">
        <v>100</v>
      </c>
      <c r="L837" t="s">
        <v>101</v>
      </c>
      <c r="M837" t="s">
        <v>102</v>
      </c>
      <c r="N837">
        <v>4</v>
      </c>
      <c r="O837">
        <v>61300</v>
      </c>
      <c r="P837">
        <v>0.05</v>
      </c>
      <c r="Q837">
        <v>232940</v>
      </c>
      <c r="R837">
        <v>129887.63</v>
      </c>
      <c r="S837">
        <v>103052.37</v>
      </c>
      <c r="T837" t="s">
        <v>60</v>
      </c>
      <c r="U837" t="str">
        <f t="shared" si="39"/>
        <v>2024-02</v>
      </c>
      <c r="V837">
        <f t="shared" si="40"/>
        <v>2</v>
      </c>
      <c r="W837" s="2">
        <f t="shared" si="41"/>
        <v>0.44239877221602125</v>
      </c>
    </row>
    <row r="838" spans="1:23">
      <c r="A838" t="s">
        <v>1564</v>
      </c>
      <c r="B838" s="1">
        <v>44976</v>
      </c>
      <c r="C838" s="1">
        <v>44982</v>
      </c>
      <c r="D838" t="s">
        <v>871</v>
      </c>
      <c r="E838" t="s">
        <v>1013</v>
      </c>
      <c r="F838" t="s">
        <v>23</v>
      </c>
      <c r="G838" t="s">
        <v>80</v>
      </c>
      <c r="H838" t="s">
        <v>45</v>
      </c>
      <c r="I838" t="s">
        <v>46</v>
      </c>
      <c r="J838" t="s">
        <v>47</v>
      </c>
      <c r="K838" t="s">
        <v>142</v>
      </c>
      <c r="L838" t="s">
        <v>143</v>
      </c>
      <c r="M838" t="s">
        <v>144</v>
      </c>
      <c r="N838">
        <v>6</v>
      </c>
      <c r="O838">
        <v>5965600</v>
      </c>
      <c r="P838">
        <v>0.05</v>
      </c>
      <c r="Q838">
        <v>34003920</v>
      </c>
      <c r="R838">
        <v>29276367.219999999</v>
      </c>
      <c r="S838">
        <v>4727552.78</v>
      </c>
      <c r="T838" t="s">
        <v>40</v>
      </c>
      <c r="U838" t="str">
        <f t="shared" si="39"/>
        <v>2023-02</v>
      </c>
      <c r="V838">
        <f t="shared" si="40"/>
        <v>6</v>
      </c>
      <c r="W838" s="2">
        <f t="shared" si="41"/>
        <v>0.13902964070024867</v>
      </c>
    </row>
    <row r="839" spans="1:23">
      <c r="A839" t="s">
        <v>1565</v>
      </c>
      <c r="B839" s="1">
        <v>45616</v>
      </c>
      <c r="C839" s="1">
        <v>45621</v>
      </c>
      <c r="D839" t="s">
        <v>278</v>
      </c>
      <c r="E839" t="s">
        <v>1566</v>
      </c>
      <c r="F839" t="s">
        <v>23</v>
      </c>
      <c r="G839" t="s">
        <v>140</v>
      </c>
      <c r="H839" t="s">
        <v>141</v>
      </c>
      <c r="I839" t="s">
        <v>46</v>
      </c>
      <c r="J839" t="s">
        <v>36</v>
      </c>
      <c r="K839" t="s">
        <v>81</v>
      </c>
      <c r="L839" t="s">
        <v>215</v>
      </c>
      <c r="M839" t="s">
        <v>216</v>
      </c>
      <c r="N839">
        <v>8</v>
      </c>
      <c r="O839">
        <v>1925600</v>
      </c>
      <c r="P839">
        <v>0.1</v>
      </c>
      <c r="Q839">
        <v>13864320</v>
      </c>
      <c r="R839">
        <v>10637813.039999999</v>
      </c>
      <c r="S839">
        <v>3226506.96</v>
      </c>
      <c r="T839" t="s">
        <v>60</v>
      </c>
      <c r="U839" t="str">
        <f t="shared" si="39"/>
        <v>2024-11</v>
      </c>
      <c r="V839">
        <f t="shared" si="40"/>
        <v>5</v>
      </c>
      <c r="W839" s="2">
        <f t="shared" si="41"/>
        <v>0.23272017379864285</v>
      </c>
    </row>
    <row r="840" spans="1:23">
      <c r="A840" t="s">
        <v>1567</v>
      </c>
      <c r="B840" s="1">
        <v>45904</v>
      </c>
      <c r="C840" s="1">
        <v>45910</v>
      </c>
      <c r="D840" t="s">
        <v>1080</v>
      </c>
      <c r="E840" t="s">
        <v>222</v>
      </c>
      <c r="F840" t="s">
        <v>54</v>
      </c>
      <c r="G840" t="s">
        <v>55</v>
      </c>
      <c r="H840" t="s">
        <v>56</v>
      </c>
      <c r="I840" t="s">
        <v>57</v>
      </c>
      <c r="J840" t="s">
        <v>47</v>
      </c>
      <c r="K840" t="s">
        <v>173</v>
      </c>
      <c r="L840" t="s">
        <v>203</v>
      </c>
      <c r="M840" t="s">
        <v>204</v>
      </c>
      <c r="N840">
        <v>1</v>
      </c>
      <c r="O840">
        <v>2885500</v>
      </c>
      <c r="P840">
        <v>0.1</v>
      </c>
      <c r="Q840">
        <v>2596950</v>
      </c>
      <c r="R840">
        <v>2275453.42</v>
      </c>
      <c r="S840">
        <v>321496.58</v>
      </c>
      <c r="T840" t="s">
        <v>31</v>
      </c>
      <c r="U840" t="str">
        <f t="shared" si="39"/>
        <v>2025-09</v>
      </c>
      <c r="V840">
        <f t="shared" si="40"/>
        <v>6</v>
      </c>
      <c r="W840" s="2">
        <f t="shared" si="41"/>
        <v>0.123797755058819</v>
      </c>
    </row>
    <row r="841" spans="1:23">
      <c r="A841" t="s">
        <v>1568</v>
      </c>
      <c r="B841" s="1">
        <v>45825</v>
      </c>
      <c r="C841" s="1">
        <v>45827</v>
      </c>
      <c r="D841" t="s">
        <v>1569</v>
      </c>
      <c r="E841" t="s">
        <v>310</v>
      </c>
      <c r="F841" t="s">
        <v>54</v>
      </c>
      <c r="G841" t="s">
        <v>95</v>
      </c>
      <c r="H841" t="s">
        <v>96</v>
      </c>
      <c r="I841" t="s">
        <v>26</v>
      </c>
      <c r="J841" t="s">
        <v>36</v>
      </c>
      <c r="K841" t="s">
        <v>37</v>
      </c>
      <c r="L841" t="s">
        <v>38</v>
      </c>
      <c r="M841" t="s">
        <v>39</v>
      </c>
      <c r="N841">
        <v>1</v>
      </c>
      <c r="O841">
        <v>988400</v>
      </c>
      <c r="P841">
        <v>0</v>
      </c>
      <c r="Q841">
        <v>988400</v>
      </c>
      <c r="R841">
        <v>683738.26</v>
      </c>
      <c r="S841">
        <v>304661.74</v>
      </c>
      <c r="T841" t="s">
        <v>31</v>
      </c>
      <c r="U841" t="str">
        <f t="shared" si="39"/>
        <v>2025-06</v>
      </c>
      <c r="V841">
        <f t="shared" si="40"/>
        <v>2</v>
      </c>
      <c r="W841" s="2">
        <f t="shared" si="41"/>
        <v>0.30823729259409144</v>
      </c>
    </row>
    <row r="842" spans="1:23">
      <c r="A842" t="s">
        <v>1570</v>
      </c>
      <c r="B842" s="1">
        <v>45713</v>
      </c>
      <c r="C842" s="1">
        <v>45716</v>
      </c>
      <c r="D842" t="s">
        <v>916</v>
      </c>
      <c r="E842" t="s">
        <v>1484</v>
      </c>
      <c r="F842" t="s">
        <v>35</v>
      </c>
      <c r="G842" t="s">
        <v>140</v>
      </c>
      <c r="H842" t="s">
        <v>141</v>
      </c>
      <c r="I842" t="s">
        <v>46</v>
      </c>
      <c r="J842" t="s">
        <v>27</v>
      </c>
      <c r="K842" t="s">
        <v>28</v>
      </c>
      <c r="L842" t="s">
        <v>71</v>
      </c>
      <c r="M842" t="s">
        <v>72</v>
      </c>
      <c r="N842">
        <v>2</v>
      </c>
      <c r="O842">
        <v>43300</v>
      </c>
      <c r="P842">
        <v>0.2</v>
      </c>
      <c r="Q842">
        <v>69280</v>
      </c>
      <c r="R842">
        <v>44620.76</v>
      </c>
      <c r="S842">
        <v>24659.24</v>
      </c>
      <c r="T842" t="s">
        <v>73</v>
      </c>
      <c r="U842" t="str">
        <f t="shared" si="39"/>
        <v>2025-02</v>
      </c>
      <c r="V842">
        <f t="shared" si="40"/>
        <v>3</v>
      </c>
      <c r="W842" s="2">
        <f t="shared" si="41"/>
        <v>0.35593591224018478</v>
      </c>
    </row>
    <row r="843" spans="1:23">
      <c r="A843" t="s">
        <v>1571</v>
      </c>
      <c r="B843" s="1">
        <v>45169</v>
      </c>
      <c r="C843" s="1">
        <v>45172</v>
      </c>
      <c r="D843" t="s">
        <v>929</v>
      </c>
      <c r="E843" t="s">
        <v>193</v>
      </c>
      <c r="F843" t="s">
        <v>54</v>
      </c>
      <c r="G843" t="s">
        <v>24</v>
      </c>
      <c r="H843" t="s">
        <v>25</v>
      </c>
      <c r="I843" t="s">
        <v>26</v>
      </c>
      <c r="J843" t="s">
        <v>47</v>
      </c>
      <c r="K843" t="s">
        <v>128</v>
      </c>
      <c r="L843" t="s">
        <v>129</v>
      </c>
      <c r="M843" t="s">
        <v>130</v>
      </c>
      <c r="N843">
        <v>6</v>
      </c>
      <c r="O843">
        <v>1387800</v>
      </c>
      <c r="P843">
        <v>0.1</v>
      </c>
      <c r="Q843">
        <v>7494120</v>
      </c>
      <c r="R843">
        <v>5778239.4800000004</v>
      </c>
      <c r="S843">
        <v>1715880.52</v>
      </c>
      <c r="T843" t="s">
        <v>60</v>
      </c>
      <c r="U843" t="str">
        <f t="shared" si="39"/>
        <v>2023-08</v>
      </c>
      <c r="V843">
        <f t="shared" si="40"/>
        <v>3</v>
      </c>
      <c r="W843" s="2">
        <f t="shared" si="41"/>
        <v>0.22896357677752691</v>
      </c>
    </row>
    <row r="844" spans="1:23">
      <c r="A844" t="s">
        <v>1572</v>
      </c>
      <c r="B844" s="1">
        <v>45215</v>
      </c>
      <c r="C844" s="1">
        <v>45216</v>
      </c>
      <c r="D844" t="s">
        <v>477</v>
      </c>
      <c r="E844" t="s">
        <v>678</v>
      </c>
      <c r="F844" t="s">
        <v>35</v>
      </c>
      <c r="G844" t="s">
        <v>140</v>
      </c>
      <c r="H844" t="s">
        <v>141</v>
      </c>
      <c r="I844" t="s">
        <v>46</v>
      </c>
      <c r="J844" t="s">
        <v>47</v>
      </c>
      <c r="K844" t="s">
        <v>173</v>
      </c>
      <c r="L844" t="s">
        <v>203</v>
      </c>
      <c r="M844" t="s">
        <v>204</v>
      </c>
      <c r="N844">
        <v>8</v>
      </c>
      <c r="O844">
        <v>3260000</v>
      </c>
      <c r="P844">
        <v>0.15</v>
      </c>
      <c r="Q844">
        <v>22168000</v>
      </c>
      <c r="R844">
        <v>18846934.010000002</v>
      </c>
      <c r="S844">
        <v>3321065.99</v>
      </c>
      <c r="T844" t="s">
        <v>31</v>
      </c>
      <c r="U844" t="str">
        <f t="shared" si="39"/>
        <v>2023-10</v>
      </c>
      <c r="V844">
        <f t="shared" si="40"/>
        <v>1</v>
      </c>
      <c r="W844" s="2">
        <f t="shared" si="41"/>
        <v>0.14981351452544209</v>
      </c>
    </row>
    <row r="845" spans="1:23">
      <c r="A845" t="s">
        <v>1573</v>
      </c>
      <c r="B845" s="1">
        <v>45504</v>
      </c>
      <c r="C845" s="1">
        <v>45509</v>
      </c>
      <c r="D845" t="s">
        <v>399</v>
      </c>
      <c r="E845" t="s">
        <v>1200</v>
      </c>
      <c r="F845" t="s">
        <v>23</v>
      </c>
      <c r="G845" t="s">
        <v>87</v>
      </c>
      <c r="H845" t="s">
        <v>88</v>
      </c>
      <c r="I845" t="s">
        <v>46</v>
      </c>
      <c r="J845" t="s">
        <v>36</v>
      </c>
      <c r="K845" t="s">
        <v>89</v>
      </c>
      <c r="L845" t="s">
        <v>90</v>
      </c>
      <c r="M845" t="s">
        <v>91</v>
      </c>
      <c r="N845">
        <v>1</v>
      </c>
      <c r="O845">
        <v>2911000</v>
      </c>
      <c r="P845">
        <v>0.15</v>
      </c>
      <c r="Q845">
        <v>2474350</v>
      </c>
      <c r="R845">
        <v>2159588.56</v>
      </c>
      <c r="S845">
        <v>314761.44</v>
      </c>
      <c r="T845" t="s">
        <v>40</v>
      </c>
      <c r="U845" t="str">
        <f t="shared" si="39"/>
        <v>2024-07</v>
      </c>
      <c r="V845">
        <f t="shared" si="40"/>
        <v>5</v>
      </c>
      <c r="W845" s="2">
        <f t="shared" si="41"/>
        <v>0.12720974801463011</v>
      </c>
    </row>
    <row r="846" spans="1:23">
      <c r="A846" t="s">
        <v>1574</v>
      </c>
      <c r="B846" s="1">
        <v>45937</v>
      </c>
      <c r="C846" s="1">
        <v>45940</v>
      </c>
      <c r="D846" t="s">
        <v>120</v>
      </c>
      <c r="E846" t="s">
        <v>502</v>
      </c>
      <c r="F846" t="s">
        <v>35</v>
      </c>
      <c r="G846" t="s">
        <v>95</v>
      </c>
      <c r="H846" t="s">
        <v>96</v>
      </c>
      <c r="I846" t="s">
        <v>26</v>
      </c>
      <c r="J846" t="s">
        <v>47</v>
      </c>
      <c r="K846" t="s">
        <v>173</v>
      </c>
      <c r="L846" t="s">
        <v>203</v>
      </c>
      <c r="M846" t="s">
        <v>204</v>
      </c>
      <c r="N846">
        <v>8</v>
      </c>
      <c r="O846">
        <v>3445800</v>
      </c>
      <c r="P846">
        <v>0.15</v>
      </c>
      <c r="Q846">
        <v>23431440</v>
      </c>
      <c r="R846">
        <v>20508774.390000001</v>
      </c>
      <c r="S846">
        <v>2922665.61</v>
      </c>
      <c r="T846" t="s">
        <v>31</v>
      </c>
      <c r="U846" t="str">
        <f t="shared" si="39"/>
        <v>2025-10</v>
      </c>
      <c r="V846">
        <f t="shared" si="40"/>
        <v>3</v>
      </c>
      <c r="W846" s="2">
        <f t="shared" si="41"/>
        <v>0.12473265023404451</v>
      </c>
    </row>
    <row r="847" spans="1:23">
      <c r="A847" t="s">
        <v>1575</v>
      </c>
      <c r="B847" s="1">
        <v>45965</v>
      </c>
      <c r="C847" s="1">
        <v>45968</v>
      </c>
      <c r="D847" t="s">
        <v>1576</v>
      </c>
      <c r="E847" t="s">
        <v>635</v>
      </c>
      <c r="F847" t="s">
        <v>54</v>
      </c>
      <c r="G847" t="s">
        <v>156</v>
      </c>
      <c r="H847" t="s">
        <v>157</v>
      </c>
      <c r="I847" t="s">
        <v>57</v>
      </c>
      <c r="J847" t="s">
        <v>47</v>
      </c>
      <c r="K847" t="s">
        <v>142</v>
      </c>
      <c r="L847" t="s">
        <v>143</v>
      </c>
      <c r="M847" t="s">
        <v>144</v>
      </c>
      <c r="N847">
        <v>2</v>
      </c>
      <c r="O847">
        <v>6741200</v>
      </c>
      <c r="P847">
        <v>0.15</v>
      </c>
      <c r="Q847">
        <v>11460040</v>
      </c>
      <c r="R847">
        <v>10691850.99</v>
      </c>
      <c r="S847">
        <v>768189.01</v>
      </c>
      <c r="T847" t="s">
        <v>31</v>
      </c>
      <c r="U847" t="str">
        <f t="shared" si="39"/>
        <v>2025-11</v>
      </c>
      <c r="V847">
        <f t="shared" si="40"/>
        <v>3</v>
      </c>
      <c r="W847" s="2">
        <f t="shared" si="41"/>
        <v>6.703196585701271E-2</v>
      </c>
    </row>
    <row r="848" spans="1:23">
      <c r="A848" t="s">
        <v>1577</v>
      </c>
      <c r="B848" s="1">
        <v>44943</v>
      </c>
      <c r="C848" s="1">
        <v>44945</v>
      </c>
      <c r="D848" t="s">
        <v>756</v>
      </c>
      <c r="E848" t="s">
        <v>1578</v>
      </c>
      <c r="F848" t="s">
        <v>35</v>
      </c>
      <c r="G848" t="s">
        <v>24</v>
      </c>
      <c r="H848" t="s">
        <v>25</v>
      </c>
      <c r="I848" t="s">
        <v>26</v>
      </c>
      <c r="J848" t="s">
        <v>47</v>
      </c>
      <c r="K848" t="s">
        <v>48</v>
      </c>
      <c r="L848" t="s">
        <v>225</v>
      </c>
      <c r="M848" t="s">
        <v>226</v>
      </c>
      <c r="N848">
        <v>2</v>
      </c>
      <c r="O848">
        <v>231500</v>
      </c>
      <c r="P848">
        <v>0</v>
      </c>
      <c r="Q848">
        <v>463000</v>
      </c>
      <c r="R848">
        <v>281848.78000000003</v>
      </c>
      <c r="S848">
        <v>181151.22</v>
      </c>
      <c r="T848" t="s">
        <v>60</v>
      </c>
      <c r="U848" t="str">
        <f t="shared" si="39"/>
        <v>2023-01</v>
      </c>
      <c r="V848">
        <f t="shared" si="40"/>
        <v>2</v>
      </c>
      <c r="W848" s="2">
        <f t="shared" si="41"/>
        <v>0.39125533477321817</v>
      </c>
    </row>
    <row r="849" spans="1:23">
      <c r="A849" t="s">
        <v>1579</v>
      </c>
      <c r="B849" s="1">
        <v>45108</v>
      </c>
      <c r="C849" s="1">
        <v>45113</v>
      </c>
      <c r="D849" t="s">
        <v>75</v>
      </c>
      <c r="E849" t="s">
        <v>336</v>
      </c>
      <c r="F849" t="s">
        <v>23</v>
      </c>
      <c r="G849" t="s">
        <v>140</v>
      </c>
      <c r="H849" t="s">
        <v>141</v>
      </c>
      <c r="I849" t="s">
        <v>46</v>
      </c>
      <c r="J849" t="s">
        <v>27</v>
      </c>
      <c r="K849" t="s">
        <v>28</v>
      </c>
      <c r="L849" t="s">
        <v>29</v>
      </c>
      <c r="M849" t="s">
        <v>30</v>
      </c>
      <c r="N849">
        <v>3</v>
      </c>
      <c r="O849">
        <v>64300</v>
      </c>
      <c r="P849">
        <v>0</v>
      </c>
      <c r="Q849">
        <v>192900</v>
      </c>
      <c r="R849">
        <v>104620.24</v>
      </c>
      <c r="S849">
        <v>88279.76</v>
      </c>
      <c r="T849" t="s">
        <v>40</v>
      </c>
      <c r="U849" t="str">
        <f t="shared" si="39"/>
        <v>2023-07</v>
      </c>
      <c r="V849">
        <f t="shared" si="40"/>
        <v>5</v>
      </c>
      <c r="W849" s="2">
        <f t="shared" si="41"/>
        <v>0.45764520476931048</v>
      </c>
    </row>
    <row r="850" spans="1:23">
      <c r="A850" t="s">
        <v>1580</v>
      </c>
      <c r="B850" s="1">
        <v>45407</v>
      </c>
      <c r="C850" s="1">
        <v>45413</v>
      </c>
      <c r="D850" t="s">
        <v>421</v>
      </c>
      <c r="E850" t="s">
        <v>797</v>
      </c>
      <c r="F850" t="s">
        <v>54</v>
      </c>
      <c r="G850" t="s">
        <v>80</v>
      </c>
      <c r="H850" t="s">
        <v>45</v>
      </c>
      <c r="I850" t="s">
        <v>46</v>
      </c>
      <c r="J850" t="s">
        <v>36</v>
      </c>
      <c r="K850" t="s">
        <v>37</v>
      </c>
      <c r="L850" t="s">
        <v>38</v>
      </c>
      <c r="M850" t="s">
        <v>39</v>
      </c>
      <c r="N850">
        <v>5</v>
      </c>
      <c r="O850">
        <v>1026000</v>
      </c>
      <c r="P850">
        <v>0.05</v>
      </c>
      <c r="Q850">
        <v>4873500</v>
      </c>
      <c r="R850">
        <v>3599692.43</v>
      </c>
      <c r="S850">
        <v>1273807.57</v>
      </c>
      <c r="T850" t="s">
        <v>73</v>
      </c>
      <c r="U850" t="str">
        <f t="shared" si="39"/>
        <v>2024-04</v>
      </c>
      <c r="V850">
        <f t="shared" si="40"/>
        <v>6</v>
      </c>
      <c r="W850" s="2">
        <f t="shared" si="41"/>
        <v>0.26137428336924184</v>
      </c>
    </row>
    <row r="851" spans="1:23">
      <c r="A851" t="s">
        <v>1581</v>
      </c>
      <c r="B851" s="1">
        <v>45532</v>
      </c>
      <c r="C851" s="1">
        <v>45533</v>
      </c>
      <c r="D851" t="s">
        <v>228</v>
      </c>
      <c r="E851" t="s">
        <v>178</v>
      </c>
      <c r="F851" t="s">
        <v>54</v>
      </c>
      <c r="G851" t="s">
        <v>169</v>
      </c>
      <c r="H851" t="s">
        <v>157</v>
      </c>
      <c r="I851" t="s">
        <v>57</v>
      </c>
      <c r="J851" t="s">
        <v>47</v>
      </c>
      <c r="K851" t="s">
        <v>48</v>
      </c>
      <c r="L851" t="s">
        <v>66</v>
      </c>
      <c r="M851" t="s">
        <v>67</v>
      </c>
      <c r="N851">
        <v>1</v>
      </c>
      <c r="O851">
        <v>124200</v>
      </c>
      <c r="P851">
        <v>0</v>
      </c>
      <c r="Q851">
        <v>124200</v>
      </c>
      <c r="R851">
        <v>77389.789999999994</v>
      </c>
      <c r="S851">
        <v>46810.21</v>
      </c>
      <c r="T851" t="s">
        <v>60</v>
      </c>
      <c r="U851" t="str">
        <f t="shared" si="39"/>
        <v>2024-08</v>
      </c>
      <c r="V851">
        <f t="shared" si="40"/>
        <v>1</v>
      </c>
      <c r="W851" s="2">
        <f t="shared" si="41"/>
        <v>0.37689380032206121</v>
      </c>
    </row>
    <row r="852" spans="1:23">
      <c r="A852" t="s">
        <v>1582</v>
      </c>
      <c r="B852" s="1">
        <v>45742</v>
      </c>
      <c r="C852" s="1">
        <v>45748</v>
      </c>
      <c r="D852" t="s">
        <v>786</v>
      </c>
      <c r="E852" t="s">
        <v>199</v>
      </c>
      <c r="F852" t="s">
        <v>35</v>
      </c>
      <c r="G852" t="s">
        <v>64</v>
      </c>
      <c r="H852" t="s">
        <v>65</v>
      </c>
      <c r="I852" t="s">
        <v>57</v>
      </c>
      <c r="J852" t="s">
        <v>47</v>
      </c>
      <c r="K852" t="s">
        <v>128</v>
      </c>
      <c r="L852" t="s">
        <v>129</v>
      </c>
      <c r="M852" t="s">
        <v>130</v>
      </c>
      <c r="N852">
        <v>1</v>
      </c>
      <c r="O852">
        <v>1390500</v>
      </c>
      <c r="P852">
        <v>0</v>
      </c>
      <c r="Q852">
        <v>1390500</v>
      </c>
      <c r="R852">
        <v>1061858.81</v>
      </c>
      <c r="S852">
        <v>328641.19</v>
      </c>
      <c r="T852" t="s">
        <v>73</v>
      </c>
      <c r="U852" t="str">
        <f t="shared" si="39"/>
        <v>2025-03</v>
      </c>
      <c r="V852">
        <f t="shared" si="40"/>
        <v>6</v>
      </c>
      <c r="W852" s="2">
        <f t="shared" si="41"/>
        <v>0.23634749370729954</v>
      </c>
    </row>
    <row r="853" spans="1:23">
      <c r="A853" t="s">
        <v>1583</v>
      </c>
      <c r="B853" s="1">
        <v>45588</v>
      </c>
      <c r="C853" s="1">
        <v>45591</v>
      </c>
      <c r="D853" t="s">
        <v>1366</v>
      </c>
      <c r="E853" t="s">
        <v>279</v>
      </c>
      <c r="F853" t="s">
        <v>35</v>
      </c>
      <c r="G853" t="s">
        <v>169</v>
      </c>
      <c r="H853" t="s">
        <v>157</v>
      </c>
      <c r="I853" t="s">
        <v>57</v>
      </c>
      <c r="J853" t="s">
        <v>27</v>
      </c>
      <c r="K853" t="s">
        <v>116</v>
      </c>
      <c r="L853" t="s">
        <v>117</v>
      </c>
      <c r="M853" t="s">
        <v>118</v>
      </c>
      <c r="N853">
        <v>2</v>
      </c>
      <c r="O853">
        <v>29700</v>
      </c>
      <c r="P853">
        <v>0</v>
      </c>
      <c r="Q853">
        <v>59400</v>
      </c>
      <c r="R853">
        <v>30406</v>
      </c>
      <c r="S853">
        <v>28994</v>
      </c>
      <c r="T853" t="s">
        <v>40</v>
      </c>
      <c r="U853" t="str">
        <f t="shared" si="39"/>
        <v>2024-10</v>
      </c>
      <c r="V853">
        <f t="shared" si="40"/>
        <v>3</v>
      </c>
      <c r="W853" s="2">
        <f t="shared" si="41"/>
        <v>0.48811447811447811</v>
      </c>
    </row>
    <row r="854" spans="1:23">
      <c r="A854" t="s">
        <v>1584</v>
      </c>
      <c r="B854" s="1">
        <v>45020</v>
      </c>
      <c r="C854" s="1">
        <v>45023</v>
      </c>
      <c r="D854" t="s">
        <v>773</v>
      </c>
      <c r="E854" t="s">
        <v>417</v>
      </c>
      <c r="F854" t="s">
        <v>54</v>
      </c>
      <c r="G854" t="s">
        <v>55</v>
      </c>
      <c r="H854" t="s">
        <v>56</v>
      </c>
      <c r="I854" t="s">
        <v>57</v>
      </c>
      <c r="J854" t="s">
        <v>36</v>
      </c>
      <c r="K854" t="s">
        <v>81</v>
      </c>
      <c r="L854" t="s">
        <v>82</v>
      </c>
      <c r="M854" t="s">
        <v>83</v>
      </c>
      <c r="N854">
        <v>4</v>
      </c>
      <c r="O854">
        <v>600800</v>
      </c>
      <c r="P854">
        <v>0.25</v>
      </c>
      <c r="Q854">
        <v>1802400</v>
      </c>
      <c r="R854">
        <v>1583263.05</v>
      </c>
      <c r="S854">
        <v>219136.95</v>
      </c>
      <c r="T854" t="s">
        <v>73</v>
      </c>
      <c r="U854" t="str">
        <f t="shared" si="39"/>
        <v>2023-04</v>
      </c>
      <c r="V854">
        <f t="shared" si="40"/>
        <v>3</v>
      </c>
      <c r="W854" s="2">
        <f t="shared" si="41"/>
        <v>0.12158064247669774</v>
      </c>
    </row>
    <row r="855" spans="1:23">
      <c r="A855" t="s">
        <v>1585</v>
      </c>
      <c r="B855" s="1">
        <v>44967</v>
      </c>
      <c r="C855" s="1">
        <v>44973</v>
      </c>
      <c r="D855" t="s">
        <v>843</v>
      </c>
      <c r="E855" t="s">
        <v>486</v>
      </c>
      <c r="F855" t="s">
        <v>35</v>
      </c>
      <c r="G855" t="s">
        <v>44</v>
      </c>
      <c r="H855" t="s">
        <v>45</v>
      </c>
      <c r="I855" t="s">
        <v>46</v>
      </c>
      <c r="J855" t="s">
        <v>47</v>
      </c>
      <c r="K855" t="s">
        <v>48</v>
      </c>
      <c r="L855" t="s">
        <v>225</v>
      </c>
      <c r="M855" t="s">
        <v>226</v>
      </c>
      <c r="N855">
        <v>6</v>
      </c>
      <c r="O855">
        <v>245800</v>
      </c>
      <c r="P855">
        <v>0.1</v>
      </c>
      <c r="Q855">
        <v>1327320</v>
      </c>
      <c r="R855">
        <v>915975.66</v>
      </c>
      <c r="S855">
        <v>411344.34</v>
      </c>
      <c r="T855" t="s">
        <v>60</v>
      </c>
      <c r="U855" t="str">
        <f t="shared" si="39"/>
        <v>2023-02</v>
      </c>
      <c r="V855">
        <f t="shared" si="40"/>
        <v>6</v>
      </c>
      <c r="W855" s="2">
        <f t="shared" si="41"/>
        <v>0.30990593074767203</v>
      </c>
    </row>
    <row r="856" spans="1:23">
      <c r="A856" t="s">
        <v>1586</v>
      </c>
      <c r="B856" s="1">
        <v>45333</v>
      </c>
      <c r="C856" s="1">
        <v>45335</v>
      </c>
      <c r="D856" t="s">
        <v>1587</v>
      </c>
      <c r="E856" t="s">
        <v>656</v>
      </c>
      <c r="F856" t="s">
        <v>23</v>
      </c>
      <c r="G856" t="s">
        <v>24</v>
      </c>
      <c r="H856" t="s">
        <v>25</v>
      </c>
      <c r="I856" t="s">
        <v>26</v>
      </c>
      <c r="J856" t="s">
        <v>27</v>
      </c>
      <c r="K856" t="s">
        <v>116</v>
      </c>
      <c r="L856" t="s">
        <v>117</v>
      </c>
      <c r="M856" t="s">
        <v>118</v>
      </c>
      <c r="N856">
        <v>6</v>
      </c>
      <c r="O856">
        <v>26300</v>
      </c>
      <c r="P856">
        <v>0</v>
      </c>
      <c r="Q856">
        <v>157800</v>
      </c>
      <c r="R856">
        <v>80827.27</v>
      </c>
      <c r="S856">
        <v>76972.73</v>
      </c>
      <c r="T856" t="s">
        <v>73</v>
      </c>
      <c r="U856" t="str">
        <f t="shared" si="39"/>
        <v>2024-02</v>
      </c>
      <c r="V856">
        <f t="shared" si="40"/>
        <v>2</v>
      </c>
      <c r="W856" s="2">
        <f t="shared" si="41"/>
        <v>0.48778662864385297</v>
      </c>
    </row>
    <row r="857" spans="1:23">
      <c r="A857" t="s">
        <v>1588</v>
      </c>
      <c r="B857" s="1">
        <v>44968</v>
      </c>
      <c r="C857" s="1">
        <v>44975</v>
      </c>
      <c r="D857" t="s">
        <v>908</v>
      </c>
      <c r="E857" t="s">
        <v>538</v>
      </c>
      <c r="F857" t="s">
        <v>23</v>
      </c>
      <c r="G857" t="s">
        <v>87</v>
      </c>
      <c r="H857" t="s">
        <v>88</v>
      </c>
      <c r="I857" t="s">
        <v>46</v>
      </c>
      <c r="J857" t="s">
        <v>27</v>
      </c>
      <c r="K857" t="s">
        <v>100</v>
      </c>
      <c r="L857" t="s">
        <v>105</v>
      </c>
      <c r="M857" t="s">
        <v>106</v>
      </c>
      <c r="N857">
        <v>1</v>
      </c>
      <c r="O857">
        <v>73100</v>
      </c>
      <c r="P857">
        <v>0</v>
      </c>
      <c r="Q857">
        <v>73100</v>
      </c>
      <c r="R857">
        <v>43759.07</v>
      </c>
      <c r="S857">
        <v>29340.93</v>
      </c>
      <c r="T857" t="s">
        <v>40</v>
      </c>
      <c r="U857" t="str">
        <f t="shared" si="39"/>
        <v>2023-02</v>
      </c>
      <c r="V857">
        <f t="shared" si="40"/>
        <v>7</v>
      </c>
      <c r="W857" s="2">
        <f t="shared" si="41"/>
        <v>0.40138071135430919</v>
      </c>
    </row>
    <row r="858" spans="1:23">
      <c r="A858" t="s">
        <v>1589</v>
      </c>
      <c r="B858" s="1">
        <v>45180</v>
      </c>
      <c r="C858" s="1">
        <v>45187</v>
      </c>
      <c r="D858" t="s">
        <v>516</v>
      </c>
      <c r="E858" t="s">
        <v>1590</v>
      </c>
      <c r="F858" t="s">
        <v>35</v>
      </c>
      <c r="G858" t="s">
        <v>80</v>
      </c>
      <c r="H858" t="s">
        <v>45</v>
      </c>
      <c r="I858" t="s">
        <v>46</v>
      </c>
      <c r="J858" t="s">
        <v>27</v>
      </c>
      <c r="K858" t="s">
        <v>116</v>
      </c>
      <c r="L858" t="s">
        <v>117</v>
      </c>
      <c r="M858" t="s">
        <v>118</v>
      </c>
      <c r="N858">
        <v>5</v>
      </c>
      <c r="O858">
        <v>24800</v>
      </c>
      <c r="P858">
        <v>0.05</v>
      </c>
      <c r="Q858">
        <v>117800</v>
      </c>
      <c r="R858">
        <v>63278.720000000001</v>
      </c>
      <c r="S858">
        <v>54521.279999999999</v>
      </c>
      <c r="T858" t="s">
        <v>60</v>
      </c>
      <c r="U858" t="str">
        <f t="shared" si="39"/>
        <v>2023-09</v>
      </c>
      <c r="V858">
        <f t="shared" si="40"/>
        <v>7</v>
      </c>
      <c r="W858" s="2">
        <f t="shared" si="41"/>
        <v>0.46282920203735145</v>
      </c>
    </row>
    <row r="859" spans="1:23">
      <c r="A859" t="s">
        <v>1591</v>
      </c>
      <c r="B859" s="1">
        <v>45237</v>
      </c>
      <c r="C859" s="1">
        <v>45238</v>
      </c>
      <c r="D859" t="s">
        <v>1592</v>
      </c>
      <c r="E859" t="s">
        <v>704</v>
      </c>
      <c r="F859" t="s">
        <v>54</v>
      </c>
      <c r="G859" t="s">
        <v>24</v>
      </c>
      <c r="H859" t="s">
        <v>25</v>
      </c>
      <c r="I859" t="s">
        <v>26</v>
      </c>
      <c r="J859" t="s">
        <v>27</v>
      </c>
      <c r="K859" t="s">
        <v>116</v>
      </c>
      <c r="L859" t="s">
        <v>117</v>
      </c>
      <c r="M859" t="s">
        <v>118</v>
      </c>
      <c r="N859">
        <v>4</v>
      </c>
      <c r="O859">
        <v>26800</v>
      </c>
      <c r="P859">
        <v>0.15</v>
      </c>
      <c r="Q859">
        <v>91120</v>
      </c>
      <c r="R859">
        <v>51964.9</v>
      </c>
      <c r="S859">
        <v>39155.1</v>
      </c>
      <c r="T859" t="s">
        <v>60</v>
      </c>
      <c r="U859" t="str">
        <f t="shared" si="39"/>
        <v>2023-11</v>
      </c>
      <c r="V859">
        <f t="shared" si="40"/>
        <v>1</v>
      </c>
      <c r="W859" s="2">
        <f t="shared" si="41"/>
        <v>0.42970917471466197</v>
      </c>
    </row>
    <row r="860" spans="1:23">
      <c r="A860" t="s">
        <v>1593</v>
      </c>
      <c r="B860" s="1">
        <v>45468</v>
      </c>
      <c r="C860" s="1">
        <v>45474</v>
      </c>
      <c r="D860" t="s">
        <v>93</v>
      </c>
      <c r="E860" t="s">
        <v>850</v>
      </c>
      <c r="F860" t="s">
        <v>23</v>
      </c>
      <c r="G860" t="s">
        <v>95</v>
      </c>
      <c r="H860" t="s">
        <v>96</v>
      </c>
      <c r="I860" t="s">
        <v>26</v>
      </c>
      <c r="J860" t="s">
        <v>36</v>
      </c>
      <c r="K860" t="s">
        <v>89</v>
      </c>
      <c r="L860" t="s">
        <v>90</v>
      </c>
      <c r="M860" t="s">
        <v>91</v>
      </c>
      <c r="N860">
        <v>8</v>
      </c>
      <c r="O860">
        <v>3223800</v>
      </c>
      <c r="P860">
        <v>0.05</v>
      </c>
      <c r="Q860">
        <v>24500880</v>
      </c>
      <c r="R860">
        <v>19280840.73</v>
      </c>
      <c r="S860">
        <v>5220039.2699999996</v>
      </c>
      <c r="T860" t="s">
        <v>73</v>
      </c>
      <c r="U860" t="str">
        <f t="shared" si="39"/>
        <v>2024-06</v>
      </c>
      <c r="V860">
        <f t="shared" si="40"/>
        <v>6</v>
      </c>
      <c r="W860" s="2">
        <f t="shared" si="41"/>
        <v>0.21305517475290681</v>
      </c>
    </row>
    <row r="861" spans="1:23">
      <c r="A861" t="s">
        <v>1594</v>
      </c>
      <c r="B861" s="1">
        <v>44962</v>
      </c>
      <c r="C861" s="1">
        <v>44966</v>
      </c>
      <c r="D861" t="s">
        <v>853</v>
      </c>
      <c r="E861" t="s">
        <v>1595</v>
      </c>
      <c r="F861" t="s">
        <v>35</v>
      </c>
      <c r="G861" t="s">
        <v>87</v>
      </c>
      <c r="H861" t="s">
        <v>88</v>
      </c>
      <c r="I861" t="s">
        <v>46</v>
      </c>
      <c r="J861" t="s">
        <v>27</v>
      </c>
      <c r="K861" t="s">
        <v>179</v>
      </c>
      <c r="L861" t="s">
        <v>180</v>
      </c>
      <c r="M861" t="s">
        <v>181</v>
      </c>
      <c r="N861">
        <v>1</v>
      </c>
      <c r="O861">
        <v>62400</v>
      </c>
      <c r="P861">
        <v>0.05</v>
      </c>
      <c r="Q861">
        <v>59280</v>
      </c>
      <c r="R861">
        <v>32416.35</v>
      </c>
      <c r="S861">
        <v>26863.65</v>
      </c>
      <c r="T861" t="s">
        <v>40</v>
      </c>
      <c r="U861" t="str">
        <f t="shared" si="39"/>
        <v>2023-02</v>
      </c>
      <c r="V861">
        <f t="shared" si="40"/>
        <v>4</v>
      </c>
      <c r="W861" s="2">
        <f t="shared" si="41"/>
        <v>0.45316548582995952</v>
      </c>
    </row>
    <row r="862" spans="1:23">
      <c r="A862" t="s">
        <v>1596</v>
      </c>
      <c r="B862" s="1">
        <v>45150</v>
      </c>
      <c r="C862" s="1">
        <v>45156</v>
      </c>
      <c r="D862" t="s">
        <v>132</v>
      </c>
      <c r="E862" t="s">
        <v>1597</v>
      </c>
      <c r="F862" t="s">
        <v>23</v>
      </c>
      <c r="G862" t="s">
        <v>44</v>
      </c>
      <c r="H862" t="s">
        <v>45</v>
      </c>
      <c r="I862" t="s">
        <v>46</v>
      </c>
      <c r="J862" t="s">
        <v>47</v>
      </c>
      <c r="K862" t="s">
        <v>173</v>
      </c>
      <c r="L862" t="s">
        <v>203</v>
      </c>
      <c r="M862" t="s">
        <v>204</v>
      </c>
      <c r="N862">
        <v>1</v>
      </c>
      <c r="O862">
        <v>3543200</v>
      </c>
      <c r="P862">
        <v>0.1</v>
      </c>
      <c r="Q862">
        <v>3188880</v>
      </c>
      <c r="R862">
        <v>2587557.19</v>
      </c>
      <c r="S862">
        <v>601322.81000000006</v>
      </c>
      <c r="T862" t="s">
        <v>73</v>
      </c>
      <c r="U862" t="str">
        <f t="shared" si="39"/>
        <v>2023-08</v>
      </c>
      <c r="V862">
        <f t="shared" si="40"/>
        <v>6</v>
      </c>
      <c r="W862" s="2">
        <f t="shared" si="41"/>
        <v>0.18856865419833924</v>
      </c>
    </row>
    <row r="863" spans="1:23">
      <c r="A863" t="s">
        <v>1598</v>
      </c>
      <c r="B863" s="1">
        <v>45896</v>
      </c>
      <c r="C863" s="1">
        <v>45901</v>
      </c>
      <c r="D863" t="s">
        <v>247</v>
      </c>
      <c r="E863" t="s">
        <v>854</v>
      </c>
      <c r="F863" t="s">
        <v>35</v>
      </c>
      <c r="G863" t="s">
        <v>140</v>
      </c>
      <c r="H863" t="s">
        <v>141</v>
      </c>
      <c r="I863" t="s">
        <v>46</v>
      </c>
      <c r="J863" t="s">
        <v>27</v>
      </c>
      <c r="K863" t="s">
        <v>28</v>
      </c>
      <c r="L863" t="s">
        <v>29</v>
      </c>
      <c r="M863" t="s">
        <v>30</v>
      </c>
      <c r="N863">
        <v>2</v>
      </c>
      <c r="O863">
        <v>72300</v>
      </c>
      <c r="P863">
        <v>0.2</v>
      </c>
      <c r="Q863">
        <v>115680</v>
      </c>
      <c r="R863">
        <v>74550.41</v>
      </c>
      <c r="S863">
        <v>41129.589999999997</v>
      </c>
      <c r="T863" t="s">
        <v>60</v>
      </c>
      <c r="U863" t="str">
        <f t="shared" si="39"/>
        <v>2025-08</v>
      </c>
      <c r="V863">
        <f t="shared" si="40"/>
        <v>5</v>
      </c>
      <c r="W863" s="2">
        <f t="shared" si="41"/>
        <v>0.35554624827109266</v>
      </c>
    </row>
    <row r="864" spans="1:23">
      <c r="A864" t="s">
        <v>1599</v>
      </c>
      <c r="B864" s="1">
        <v>45476</v>
      </c>
      <c r="C864" s="1">
        <v>45482</v>
      </c>
      <c r="D864" t="s">
        <v>365</v>
      </c>
      <c r="E864" t="s">
        <v>1067</v>
      </c>
      <c r="F864" t="s">
        <v>23</v>
      </c>
      <c r="G864" t="s">
        <v>87</v>
      </c>
      <c r="H864" t="s">
        <v>88</v>
      </c>
      <c r="I864" t="s">
        <v>46</v>
      </c>
      <c r="J864" t="s">
        <v>47</v>
      </c>
      <c r="K864" t="s">
        <v>128</v>
      </c>
      <c r="L864" t="s">
        <v>129</v>
      </c>
      <c r="M864" t="s">
        <v>130</v>
      </c>
      <c r="N864">
        <v>2</v>
      </c>
      <c r="O864">
        <v>1531100</v>
      </c>
      <c r="P864">
        <v>0.05</v>
      </c>
      <c r="Q864">
        <v>2909090</v>
      </c>
      <c r="R864">
        <v>2340653.5499999998</v>
      </c>
      <c r="S864">
        <v>568436.44999999995</v>
      </c>
      <c r="T864" t="s">
        <v>73</v>
      </c>
      <c r="U864" t="str">
        <f t="shared" si="39"/>
        <v>2024-07</v>
      </c>
      <c r="V864">
        <f t="shared" si="40"/>
        <v>6</v>
      </c>
      <c r="W864" s="2">
        <f t="shared" si="41"/>
        <v>0.19540009075002834</v>
      </c>
    </row>
    <row r="865" spans="1:23">
      <c r="A865" t="s">
        <v>1600</v>
      </c>
      <c r="B865" s="1">
        <v>45798</v>
      </c>
      <c r="C865" s="1">
        <v>45804</v>
      </c>
      <c r="D865" t="s">
        <v>814</v>
      </c>
      <c r="E865" t="s">
        <v>820</v>
      </c>
      <c r="F865" t="s">
        <v>23</v>
      </c>
      <c r="G865" t="s">
        <v>140</v>
      </c>
      <c r="H865" t="s">
        <v>141</v>
      </c>
      <c r="I865" t="s">
        <v>46</v>
      </c>
      <c r="J865" t="s">
        <v>47</v>
      </c>
      <c r="K865" t="s">
        <v>173</v>
      </c>
      <c r="L865" t="s">
        <v>203</v>
      </c>
      <c r="M865" t="s">
        <v>204</v>
      </c>
      <c r="N865">
        <v>1</v>
      </c>
      <c r="O865">
        <v>3188100</v>
      </c>
      <c r="P865">
        <v>0.3</v>
      </c>
      <c r="Q865">
        <v>2231670</v>
      </c>
      <c r="R865">
        <v>2314112.1</v>
      </c>
      <c r="S865">
        <v>-82442.100000000006</v>
      </c>
      <c r="T865" t="s">
        <v>31</v>
      </c>
      <c r="U865" t="str">
        <f t="shared" si="39"/>
        <v>2025-05</v>
      </c>
      <c r="V865">
        <f t="shared" si="40"/>
        <v>6</v>
      </c>
      <c r="W865" s="2">
        <f t="shared" si="41"/>
        <v>-3.6941886569250834E-2</v>
      </c>
    </row>
    <row r="866" spans="1:23">
      <c r="A866" t="s">
        <v>1601</v>
      </c>
      <c r="B866" s="1">
        <v>46001</v>
      </c>
      <c r="C866" s="1">
        <v>46005</v>
      </c>
      <c r="D866" t="s">
        <v>992</v>
      </c>
      <c r="E866" t="s">
        <v>977</v>
      </c>
      <c r="F866" t="s">
        <v>23</v>
      </c>
      <c r="G866" t="s">
        <v>169</v>
      </c>
      <c r="H866" t="s">
        <v>157</v>
      </c>
      <c r="I866" t="s">
        <v>57</v>
      </c>
      <c r="J866" t="s">
        <v>47</v>
      </c>
      <c r="K866" t="s">
        <v>48</v>
      </c>
      <c r="L866" t="s">
        <v>225</v>
      </c>
      <c r="M866" t="s">
        <v>226</v>
      </c>
      <c r="N866">
        <v>2</v>
      </c>
      <c r="O866">
        <v>221900</v>
      </c>
      <c r="P866">
        <v>0.25</v>
      </c>
      <c r="Q866">
        <v>332850</v>
      </c>
      <c r="R866">
        <v>276390.33</v>
      </c>
      <c r="S866">
        <v>56459.67</v>
      </c>
      <c r="T866" t="s">
        <v>31</v>
      </c>
      <c r="U866" t="str">
        <f t="shared" si="39"/>
        <v>2025-12</v>
      </c>
      <c r="V866">
        <f t="shared" si="40"/>
        <v>4</v>
      </c>
      <c r="W866" s="2">
        <f t="shared" si="41"/>
        <v>0.16962496620099143</v>
      </c>
    </row>
    <row r="867" spans="1:23">
      <c r="A867" t="s">
        <v>1602</v>
      </c>
      <c r="B867" s="1">
        <v>45688</v>
      </c>
      <c r="C867" s="1">
        <v>45693</v>
      </c>
      <c r="D867" t="s">
        <v>511</v>
      </c>
      <c r="E867" t="s">
        <v>460</v>
      </c>
      <c r="F867" t="s">
        <v>35</v>
      </c>
      <c r="G867" t="s">
        <v>95</v>
      </c>
      <c r="H867" t="s">
        <v>96</v>
      </c>
      <c r="I867" t="s">
        <v>26</v>
      </c>
      <c r="J867" t="s">
        <v>27</v>
      </c>
      <c r="K867" t="s">
        <v>28</v>
      </c>
      <c r="L867" t="s">
        <v>71</v>
      </c>
      <c r="M867" t="s">
        <v>72</v>
      </c>
      <c r="N867">
        <v>4</v>
      </c>
      <c r="O867">
        <v>49900</v>
      </c>
      <c r="P867">
        <v>0.05</v>
      </c>
      <c r="Q867">
        <v>189620</v>
      </c>
      <c r="R867">
        <v>106759.13</v>
      </c>
      <c r="S867">
        <v>82860.87</v>
      </c>
      <c r="T867" t="s">
        <v>73</v>
      </c>
      <c r="U867" t="str">
        <f t="shared" si="39"/>
        <v>2025-01</v>
      </c>
      <c r="V867">
        <f t="shared" si="40"/>
        <v>5</v>
      </c>
      <c r="W867" s="2">
        <f t="shared" si="41"/>
        <v>0.43698380972471257</v>
      </c>
    </row>
    <row r="868" spans="1:23">
      <c r="A868" t="s">
        <v>1603</v>
      </c>
      <c r="B868" s="1">
        <v>45603</v>
      </c>
      <c r="C868" s="1">
        <v>45609</v>
      </c>
      <c r="D868" t="s">
        <v>828</v>
      </c>
      <c r="E868" t="s">
        <v>1408</v>
      </c>
      <c r="F868" t="s">
        <v>35</v>
      </c>
      <c r="G868" t="s">
        <v>80</v>
      </c>
      <c r="H868" t="s">
        <v>45</v>
      </c>
      <c r="I868" t="s">
        <v>46</v>
      </c>
      <c r="J868" t="s">
        <v>27</v>
      </c>
      <c r="K868" t="s">
        <v>28</v>
      </c>
      <c r="L868" t="s">
        <v>71</v>
      </c>
      <c r="M868" t="s">
        <v>72</v>
      </c>
      <c r="N868">
        <v>1</v>
      </c>
      <c r="O868">
        <v>44600</v>
      </c>
      <c r="P868">
        <v>0</v>
      </c>
      <c r="Q868">
        <v>44600</v>
      </c>
      <c r="R868">
        <v>22234.55</v>
      </c>
      <c r="S868">
        <v>22365.45</v>
      </c>
      <c r="T868" t="s">
        <v>40</v>
      </c>
      <c r="U868" t="str">
        <f t="shared" si="39"/>
        <v>2024-11</v>
      </c>
      <c r="V868">
        <f t="shared" si="40"/>
        <v>6</v>
      </c>
      <c r="W868" s="2">
        <f t="shared" si="41"/>
        <v>0.50146748878923764</v>
      </c>
    </row>
    <row r="869" spans="1:23">
      <c r="A869" t="s">
        <v>1604</v>
      </c>
      <c r="B869" s="1">
        <v>45311</v>
      </c>
      <c r="C869" s="1">
        <v>45313</v>
      </c>
      <c r="D869" t="s">
        <v>594</v>
      </c>
      <c r="E869" t="s">
        <v>1605</v>
      </c>
      <c r="F869" t="s">
        <v>23</v>
      </c>
      <c r="G869" t="s">
        <v>156</v>
      </c>
      <c r="H869" t="s">
        <v>157</v>
      </c>
      <c r="I869" t="s">
        <v>57</v>
      </c>
      <c r="J869" t="s">
        <v>27</v>
      </c>
      <c r="K869" t="s">
        <v>116</v>
      </c>
      <c r="L869" t="s">
        <v>207</v>
      </c>
      <c r="M869" t="s">
        <v>208</v>
      </c>
      <c r="N869">
        <v>3</v>
      </c>
      <c r="O869">
        <v>105200</v>
      </c>
      <c r="P869">
        <v>0.1</v>
      </c>
      <c r="Q869">
        <v>284040</v>
      </c>
      <c r="R869">
        <v>191555.23</v>
      </c>
      <c r="S869">
        <v>92484.77</v>
      </c>
      <c r="T869" t="s">
        <v>40</v>
      </c>
      <c r="U869" t="str">
        <f t="shared" si="39"/>
        <v>2024-01</v>
      </c>
      <c r="V869">
        <f t="shared" si="40"/>
        <v>2</v>
      </c>
      <c r="W869" s="2">
        <f t="shared" si="41"/>
        <v>0.32560473876918744</v>
      </c>
    </row>
    <row r="870" spans="1:23">
      <c r="A870" t="s">
        <v>1606</v>
      </c>
      <c r="B870" s="1">
        <v>45321</v>
      </c>
      <c r="C870" s="1">
        <v>45324</v>
      </c>
      <c r="D870" t="s">
        <v>966</v>
      </c>
      <c r="E870" t="s">
        <v>1607</v>
      </c>
      <c r="F870" t="s">
        <v>35</v>
      </c>
      <c r="G870" t="s">
        <v>55</v>
      </c>
      <c r="H870" t="s">
        <v>56</v>
      </c>
      <c r="I870" t="s">
        <v>57</v>
      </c>
      <c r="J870" t="s">
        <v>47</v>
      </c>
      <c r="K870" t="s">
        <v>48</v>
      </c>
      <c r="L870" t="s">
        <v>225</v>
      </c>
      <c r="M870" t="s">
        <v>226</v>
      </c>
      <c r="N870">
        <v>3</v>
      </c>
      <c r="O870">
        <v>227400</v>
      </c>
      <c r="P870">
        <v>0</v>
      </c>
      <c r="Q870">
        <v>682200</v>
      </c>
      <c r="R870">
        <v>417642.38</v>
      </c>
      <c r="S870">
        <v>264557.62</v>
      </c>
      <c r="T870" t="s">
        <v>60</v>
      </c>
      <c r="U870" t="str">
        <f t="shared" si="39"/>
        <v>2024-01</v>
      </c>
      <c r="V870">
        <f t="shared" si="40"/>
        <v>3</v>
      </c>
      <c r="W870" s="2">
        <f t="shared" si="41"/>
        <v>0.38780067428906478</v>
      </c>
    </row>
    <row r="871" spans="1:23">
      <c r="A871" t="s">
        <v>1608</v>
      </c>
      <c r="B871" s="1">
        <v>45239</v>
      </c>
      <c r="C871" s="1">
        <v>45240</v>
      </c>
      <c r="D871" t="s">
        <v>1406</v>
      </c>
      <c r="E871" t="s">
        <v>687</v>
      </c>
      <c r="F871" t="s">
        <v>23</v>
      </c>
      <c r="G871" t="s">
        <v>80</v>
      </c>
      <c r="H871" t="s">
        <v>45</v>
      </c>
      <c r="I871" t="s">
        <v>46</v>
      </c>
      <c r="J871" t="s">
        <v>27</v>
      </c>
      <c r="K871" t="s">
        <v>179</v>
      </c>
      <c r="L871" t="s">
        <v>244</v>
      </c>
      <c r="M871" t="s">
        <v>245</v>
      </c>
      <c r="N871">
        <v>1</v>
      </c>
      <c r="O871">
        <v>38600</v>
      </c>
      <c r="P871">
        <v>0.1</v>
      </c>
      <c r="Q871">
        <v>34740</v>
      </c>
      <c r="R871">
        <v>19295.810000000001</v>
      </c>
      <c r="S871">
        <v>15444.19</v>
      </c>
      <c r="T871" t="s">
        <v>31</v>
      </c>
      <c r="U871" t="str">
        <f t="shared" si="39"/>
        <v>2023-11</v>
      </c>
      <c r="V871">
        <f t="shared" si="40"/>
        <v>1</v>
      </c>
      <c r="W871" s="2">
        <f t="shared" si="41"/>
        <v>0.4445650546919977</v>
      </c>
    </row>
    <row r="872" spans="1:23">
      <c r="A872" t="s">
        <v>1609</v>
      </c>
      <c r="B872" s="1">
        <v>45896</v>
      </c>
      <c r="C872" s="1">
        <v>45898</v>
      </c>
      <c r="D872" t="s">
        <v>149</v>
      </c>
      <c r="E872" t="s">
        <v>528</v>
      </c>
      <c r="F872" t="s">
        <v>23</v>
      </c>
      <c r="G872" t="s">
        <v>24</v>
      </c>
      <c r="H872" t="s">
        <v>25</v>
      </c>
      <c r="I872" t="s">
        <v>26</v>
      </c>
      <c r="J872" t="s">
        <v>47</v>
      </c>
      <c r="K872" t="s">
        <v>173</v>
      </c>
      <c r="L872" t="s">
        <v>174</v>
      </c>
      <c r="M872" t="s">
        <v>175</v>
      </c>
      <c r="N872">
        <v>1</v>
      </c>
      <c r="O872">
        <v>4721600</v>
      </c>
      <c r="P872">
        <v>0</v>
      </c>
      <c r="Q872">
        <v>4721600</v>
      </c>
      <c r="R872">
        <v>3399949.91</v>
      </c>
      <c r="S872">
        <v>1321650.0900000001</v>
      </c>
      <c r="T872" t="s">
        <v>73</v>
      </c>
      <c r="U872" t="str">
        <f t="shared" si="39"/>
        <v>2025-08</v>
      </c>
      <c r="V872">
        <f t="shared" si="40"/>
        <v>2</v>
      </c>
      <c r="W872" s="2">
        <f t="shared" si="41"/>
        <v>0.27991572560149103</v>
      </c>
    </row>
    <row r="873" spans="1:23">
      <c r="A873" t="s">
        <v>1610</v>
      </c>
      <c r="B873" s="1">
        <v>45827</v>
      </c>
      <c r="C873" s="1">
        <v>45831</v>
      </c>
      <c r="D873" t="s">
        <v>354</v>
      </c>
      <c r="E873" t="s">
        <v>1462</v>
      </c>
      <c r="F873" t="s">
        <v>23</v>
      </c>
      <c r="G873" t="s">
        <v>95</v>
      </c>
      <c r="H873" t="s">
        <v>96</v>
      </c>
      <c r="I873" t="s">
        <v>26</v>
      </c>
      <c r="J873" t="s">
        <v>27</v>
      </c>
      <c r="K873" t="s">
        <v>179</v>
      </c>
      <c r="L873" t="s">
        <v>180</v>
      </c>
      <c r="M873" t="s">
        <v>181</v>
      </c>
      <c r="N873">
        <v>1</v>
      </c>
      <c r="O873">
        <v>55200</v>
      </c>
      <c r="P873">
        <v>0.15</v>
      </c>
      <c r="Q873">
        <v>46920</v>
      </c>
      <c r="R873">
        <v>30479.25</v>
      </c>
      <c r="S873">
        <v>16440.75</v>
      </c>
      <c r="T873" t="s">
        <v>31</v>
      </c>
      <c r="U873" t="str">
        <f t="shared" si="39"/>
        <v>2025-06</v>
      </c>
      <c r="V873">
        <f t="shared" si="40"/>
        <v>4</v>
      </c>
      <c r="W873" s="2">
        <f t="shared" si="41"/>
        <v>0.35039961636828643</v>
      </c>
    </row>
    <row r="874" spans="1:23">
      <c r="A874" t="s">
        <v>1611</v>
      </c>
      <c r="B874" s="1">
        <v>45996</v>
      </c>
      <c r="C874" s="1">
        <v>45999</v>
      </c>
      <c r="D874" t="s">
        <v>275</v>
      </c>
      <c r="E874" t="s">
        <v>759</v>
      </c>
      <c r="F874" t="s">
        <v>54</v>
      </c>
      <c r="G874" t="s">
        <v>24</v>
      </c>
      <c r="H874" t="s">
        <v>25</v>
      </c>
      <c r="I874" t="s">
        <v>26</v>
      </c>
      <c r="J874" t="s">
        <v>36</v>
      </c>
      <c r="K874" t="s">
        <v>37</v>
      </c>
      <c r="L874" t="s">
        <v>38</v>
      </c>
      <c r="M874" t="s">
        <v>39</v>
      </c>
      <c r="N874">
        <v>4</v>
      </c>
      <c r="O874">
        <v>1063100</v>
      </c>
      <c r="P874">
        <v>0.1</v>
      </c>
      <c r="Q874">
        <v>3827160</v>
      </c>
      <c r="R874">
        <v>2931282.51</v>
      </c>
      <c r="S874">
        <v>895877.49</v>
      </c>
      <c r="T874" t="s">
        <v>60</v>
      </c>
      <c r="U874" t="str">
        <f t="shared" si="39"/>
        <v>2025-12</v>
      </c>
      <c r="V874">
        <f t="shared" si="40"/>
        <v>3</v>
      </c>
      <c r="W874" s="2">
        <f t="shared" si="41"/>
        <v>0.23408414855924498</v>
      </c>
    </row>
    <row r="875" spans="1:23">
      <c r="A875" t="s">
        <v>1612</v>
      </c>
      <c r="B875" s="1">
        <v>45818</v>
      </c>
      <c r="C875" s="1">
        <v>45824</v>
      </c>
      <c r="D875" t="s">
        <v>537</v>
      </c>
      <c r="E875" t="s">
        <v>222</v>
      </c>
      <c r="F875" t="s">
        <v>54</v>
      </c>
      <c r="G875" t="s">
        <v>156</v>
      </c>
      <c r="H875" t="s">
        <v>157</v>
      </c>
      <c r="I875" t="s">
        <v>57</v>
      </c>
      <c r="J875" t="s">
        <v>36</v>
      </c>
      <c r="K875" t="s">
        <v>81</v>
      </c>
      <c r="L875" t="s">
        <v>215</v>
      </c>
      <c r="M875" t="s">
        <v>216</v>
      </c>
      <c r="N875">
        <v>4</v>
      </c>
      <c r="O875">
        <v>1657300</v>
      </c>
      <c r="P875">
        <v>0.1</v>
      </c>
      <c r="Q875">
        <v>5966280</v>
      </c>
      <c r="R875">
        <v>4724099.37</v>
      </c>
      <c r="S875">
        <v>1242180.6299999999</v>
      </c>
      <c r="T875" t="s">
        <v>60</v>
      </c>
      <c r="U875" t="str">
        <f t="shared" si="39"/>
        <v>2025-06</v>
      </c>
      <c r="V875">
        <f t="shared" si="40"/>
        <v>6</v>
      </c>
      <c r="W875" s="2">
        <f t="shared" si="41"/>
        <v>0.20820019006818316</v>
      </c>
    </row>
    <row r="876" spans="1:23">
      <c r="A876" t="s">
        <v>1613</v>
      </c>
      <c r="B876" s="1">
        <v>45293</v>
      </c>
      <c r="C876" s="1">
        <v>45299</v>
      </c>
      <c r="D876" t="s">
        <v>1128</v>
      </c>
      <c r="E876" t="s">
        <v>1614</v>
      </c>
      <c r="F876" t="s">
        <v>23</v>
      </c>
      <c r="G876" t="s">
        <v>64</v>
      </c>
      <c r="H876" t="s">
        <v>65</v>
      </c>
      <c r="I876" t="s">
        <v>57</v>
      </c>
      <c r="J876" t="s">
        <v>27</v>
      </c>
      <c r="K876" t="s">
        <v>28</v>
      </c>
      <c r="L876" t="s">
        <v>29</v>
      </c>
      <c r="M876" t="s">
        <v>30</v>
      </c>
      <c r="N876">
        <v>1</v>
      </c>
      <c r="O876">
        <v>65800</v>
      </c>
      <c r="P876">
        <v>0</v>
      </c>
      <c r="Q876">
        <v>65800</v>
      </c>
      <c r="R876">
        <v>35459.26</v>
      </c>
      <c r="S876">
        <v>30340.74</v>
      </c>
      <c r="T876" t="s">
        <v>73</v>
      </c>
      <c r="U876" t="str">
        <f t="shared" si="39"/>
        <v>2024-01</v>
      </c>
      <c r="V876">
        <f t="shared" si="40"/>
        <v>6</v>
      </c>
      <c r="W876" s="2">
        <f t="shared" si="41"/>
        <v>0.46110547112462008</v>
      </c>
    </row>
    <row r="877" spans="1:23">
      <c r="A877" t="s">
        <v>1615</v>
      </c>
      <c r="B877" s="1">
        <v>44953</v>
      </c>
      <c r="C877" s="1">
        <v>44958</v>
      </c>
      <c r="D877" t="s">
        <v>511</v>
      </c>
      <c r="E877" t="s">
        <v>63</v>
      </c>
      <c r="F877" t="s">
        <v>23</v>
      </c>
      <c r="G877" t="s">
        <v>64</v>
      </c>
      <c r="H877" t="s">
        <v>65</v>
      </c>
      <c r="I877" t="s">
        <v>57</v>
      </c>
      <c r="J877" t="s">
        <v>47</v>
      </c>
      <c r="K877" t="s">
        <v>48</v>
      </c>
      <c r="L877" t="s">
        <v>66</v>
      </c>
      <c r="M877" t="s">
        <v>67</v>
      </c>
      <c r="N877">
        <v>1</v>
      </c>
      <c r="O877">
        <v>114100</v>
      </c>
      <c r="P877">
        <v>0.1</v>
      </c>
      <c r="Q877">
        <v>102690</v>
      </c>
      <c r="R877">
        <v>63130.86</v>
      </c>
      <c r="S877">
        <v>39559.14</v>
      </c>
      <c r="T877" t="s">
        <v>60</v>
      </c>
      <c r="U877" t="str">
        <f t="shared" si="39"/>
        <v>2023-01</v>
      </c>
      <c r="V877">
        <f t="shared" si="40"/>
        <v>5</v>
      </c>
      <c r="W877" s="2">
        <f t="shared" si="41"/>
        <v>0.38522874671340929</v>
      </c>
    </row>
    <row r="878" spans="1:23">
      <c r="A878" t="s">
        <v>1616</v>
      </c>
      <c r="B878" s="1">
        <v>45857</v>
      </c>
      <c r="C878" s="1">
        <v>45861</v>
      </c>
      <c r="D878" t="s">
        <v>233</v>
      </c>
      <c r="E878" t="s">
        <v>345</v>
      </c>
      <c r="F878" t="s">
        <v>23</v>
      </c>
      <c r="G878" t="s">
        <v>140</v>
      </c>
      <c r="H878" t="s">
        <v>141</v>
      </c>
      <c r="I878" t="s">
        <v>46</v>
      </c>
      <c r="J878" t="s">
        <v>47</v>
      </c>
      <c r="K878" t="s">
        <v>142</v>
      </c>
      <c r="L878" t="s">
        <v>143</v>
      </c>
      <c r="M878" t="s">
        <v>144</v>
      </c>
      <c r="N878">
        <v>3</v>
      </c>
      <c r="O878">
        <v>5727400</v>
      </c>
      <c r="P878">
        <v>0.2</v>
      </c>
      <c r="Q878">
        <v>13745760</v>
      </c>
      <c r="R878">
        <v>13206475.359999999</v>
      </c>
      <c r="S878">
        <v>539284.64</v>
      </c>
      <c r="T878" t="s">
        <v>73</v>
      </c>
      <c r="U878" t="str">
        <f t="shared" si="39"/>
        <v>2025-07</v>
      </c>
      <c r="V878">
        <f t="shared" si="40"/>
        <v>4</v>
      </c>
      <c r="W878" s="2">
        <f t="shared" si="41"/>
        <v>3.9232799059491799E-2</v>
      </c>
    </row>
    <row r="879" spans="1:23">
      <c r="A879" t="s">
        <v>1617</v>
      </c>
      <c r="B879" s="1">
        <v>45054</v>
      </c>
      <c r="C879" s="1">
        <v>45057</v>
      </c>
      <c r="D879" t="s">
        <v>1618</v>
      </c>
      <c r="E879" t="s">
        <v>874</v>
      </c>
      <c r="F879" t="s">
        <v>35</v>
      </c>
      <c r="G879" t="s">
        <v>24</v>
      </c>
      <c r="H879" t="s">
        <v>25</v>
      </c>
      <c r="I879" t="s">
        <v>26</v>
      </c>
      <c r="J879" t="s">
        <v>47</v>
      </c>
      <c r="K879" t="s">
        <v>48</v>
      </c>
      <c r="L879" t="s">
        <v>66</v>
      </c>
      <c r="M879" t="s">
        <v>67</v>
      </c>
      <c r="N879">
        <v>2</v>
      </c>
      <c r="O879">
        <v>131000</v>
      </c>
      <c r="P879">
        <v>0.2</v>
      </c>
      <c r="Q879">
        <v>209600</v>
      </c>
      <c r="R879">
        <v>162096.6</v>
      </c>
      <c r="S879">
        <v>47503.4</v>
      </c>
      <c r="T879" t="s">
        <v>31</v>
      </c>
      <c r="U879" t="str">
        <f t="shared" si="39"/>
        <v>2023-05</v>
      </c>
      <c r="V879">
        <f t="shared" si="40"/>
        <v>3</v>
      </c>
      <c r="W879" s="2">
        <f t="shared" si="41"/>
        <v>0.22663835877862595</v>
      </c>
    </row>
    <row r="880" spans="1:23">
      <c r="A880" t="s">
        <v>1619</v>
      </c>
      <c r="B880" s="1">
        <v>45677</v>
      </c>
      <c r="C880" s="1">
        <v>45682</v>
      </c>
      <c r="D880" t="s">
        <v>570</v>
      </c>
      <c r="E880" t="s">
        <v>243</v>
      </c>
      <c r="F880" t="s">
        <v>54</v>
      </c>
      <c r="G880" t="s">
        <v>169</v>
      </c>
      <c r="H880" t="s">
        <v>157</v>
      </c>
      <c r="I880" t="s">
        <v>57</v>
      </c>
      <c r="J880" t="s">
        <v>47</v>
      </c>
      <c r="K880" t="s">
        <v>48</v>
      </c>
      <c r="L880" t="s">
        <v>225</v>
      </c>
      <c r="M880" t="s">
        <v>226</v>
      </c>
      <c r="N880">
        <v>1</v>
      </c>
      <c r="O880">
        <v>248700</v>
      </c>
      <c r="P880">
        <v>0.05</v>
      </c>
      <c r="Q880">
        <v>236265</v>
      </c>
      <c r="R880">
        <v>155899.75</v>
      </c>
      <c r="S880">
        <v>80365.25</v>
      </c>
      <c r="T880" t="s">
        <v>31</v>
      </c>
      <c r="U880" t="str">
        <f t="shared" si="39"/>
        <v>2025-01</v>
      </c>
      <c r="V880">
        <f t="shared" si="40"/>
        <v>5</v>
      </c>
      <c r="W880" s="2">
        <f t="shared" si="41"/>
        <v>0.34014877362283874</v>
      </c>
    </row>
    <row r="881" spans="1:23">
      <c r="A881" t="s">
        <v>1620</v>
      </c>
      <c r="B881" s="1">
        <v>45018</v>
      </c>
      <c r="C881" s="1">
        <v>45021</v>
      </c>
      <c r="D881" t="s">
        <v>614</v>
      </c>
      <c r="E881" t="s">
        <v>708</v>
      </c>
      <c r="F881" t="s">
        <v>23</v>
      </c>
      <c r="G881" t="s">
        <v>87</v>
      </c>
      <c r="H881" t="s">
        <v>88</v>
      </c>
      <c r="I881" t="s">
        <v>46</v>
      </c>
      <c r="J881" t="s">
        <v>36</v>
      </c>
      <c r="K881" t="s">
        <v>37</v>
      </c>
      <c r="L881" t="s">
        <v>58</v>
      </c>
      <c r="M881" t="s">
        <v>59</v>
      </c>
      <c r="N881">
        <v>2</v>
      </c>
      <c r="O881">
        <v>890300</v>
      </c>
      <c r="P881">
        <v>0</v>
      </c>
      <c r="Q881">
        <v>1780600</v>
      </c>
      <c r="R881">
        <v>1169673.1399999999</v>
      </c>
      <c r="S881">
        <v>610926.86</v>
      </c>
      <c r="T881" t="s">
        <v>31</v>
      </c>
      <c r="U881" t="str">
        <f t="shared" si="39"/>
        <v>2023-04</v>
      </c>
      <c r="V881">
        <f t="shared" si="40"/>
        <v>3</v>
      </c>
      <c r="W881" s="2">
        <f t="shared" si="41"/>
        <v>0.34310168482533976</v>
      </c>
    </row>
    <row r="882" spans="1:23">
      <c r="A882" t="s">
        <v>1621</v>
      </c>
      <c r="B882" s="1">
        <v>45875</v>
      </c>
      <c r="C882" s="1">
        <v>45876</v>
      </c>
      <c r="D882" t="s">
        <v>1311</v>
      </c>
      <c r="E882" t="s">
        <v>1578</v>
      </c>
      <c r="F882" t="s">
        <v>35</v>
      </c>
      <c r="G882" t="s">
        <v>80</v>
      </c>
      <c r="H882" t="s">
        <v>45</v>
      </c>
      <c r="I882" t="s">
        <v>46</v>
      </c>
      <c r="J882" t="s">
        <v>47</v>
      </c>
      <c r="K882" t="s">
        <v>142</v>
      </c>
      <c r="L882" t="s">
        <v>143</v>
      </c>
      <c r="M882" t="s">
        <v>144</v>
      </c>
      <c r="N882">
        <v>2</v>
      </c>
      <c r="O882">
        <v>6330900</v>
      </c>
      <c r="P882">
        <v>0</v>
      </c>
      <c r="Q882">
        <v>12661800</v>
      </c>
      <c r="R882">
        <v>9845954.0399999991</v>
      </c>
      <c r="S882">
        <v>2815845.96</v>
      </c>
      <c r="T882" t="s">
        <v>73</v>
      </c>
      <c r="U882" t="str">
        <f t="shared" si="39"/>
        <v>2025-08</v>
      </c>
      <c r="V882">
        <f t="shared" si="40"/>
        <v>1</v>
      </c>
      <c r="W882" s="2">
        <f t="shared" si="41"/>
        <v>0.22238907264369995</v>
      </c>
    </row>
    <row r="883" spans="1:23">
      <c r="A883" t="s">
        <v>1622</v>
      </c>
      <c r="B883" s="1">
        <v>45694</v>
      </c>
      <c r="C883" s="1">
        <v>45698</v>
      </c>
      <c r="D883" t="s">
        <v>1226</v>
      </c>
      <c r="E883" t="s">
        <v>1018</v>
      </c>
      <c r="F883" t="s">
        <v>54</v>
      </c>
      <c r="G883" t="s">
        <v>95</v>
      </c>
      <c r="H883" t="s">
        <v>96</v>
      </c>
      <c r="I883" t="s">
        <v>26</v>
      </c>
      <c r="J883" t="s">
        <v>47</v>
      </c>
      <c r="K883" t="s">
        <v>173</v>
      </c>
      <c r="L883" t="s">
        <v>174</v>
      </c>
      <c r="M883" t="s">
        <v>175</v>
      </c>
      <c r="N883">
        <v>4</v>
      </c>
      <c r="O883">
        <v>4993200</v>
      </c>
      <c r="P883">
        <v>0</v>
      </c>
      <c r="Q883">
        <v>19972800</v>
      </c>
      <c r="R883">
        <v>14969269.460000001</v>
      </c>
      <c r="S883">
        <v>5003530.54</v>
      </c>
      <c r="T883" t="s">
        <v>73</v>
      </c>
      <c r="U883" t="str">
        <f t="shared" si="39"/>
        <v>2025-02</v>
      </c>
      <c r="V883">
        <f t="shared" si="40"/>
        <v>4</v>
      </c>
      <c r="W883" s="2">
        <f t="shared" si="41"/>
        <v>0.25051723043338942</v>
      </c>
    </row>
    <row r="884" spans="1:23">
      <c r="A884" t="s">
        <v>1623</v>
      </c>
      <c r="B884" s="1">
        <v>45214</v>
      </c>
      <c r="C884" s="1">
        <v>45219</v>
      </c>
      <c r="D884" t="s">
        <v>296</v>
      </c>
      <c r="E884" t="s">
        <v>1624</v>
      </c>
      <c r="F884" t="s">
        <v>23</v>
      </c>
      <c r="G884" t="s">
        <v>24</v>
      </c>
      <c r="H884" t="s">
        <v>25</v>
      </c>
      <c r="I884" t="s">
        <v>26</v>
      </c>
      <c r="J884" t="s">
        <v>47</v>
      </c>
      <c r="K884" t="s">
        <v>173</v>
      </c>
      <c r="L884" t="s">
        <v>174</v>
      </c>
      <c r="M884" t="s">
        <v>175</v>
      </c>
      <c r="N884">
        <v>1</v>
      </c>
      <c r="O884">
        <v>4535000</v>
      </c>
      <c r="P884">
        <v>0.1</v>
      </c>
      <c r="Q884">
        <v>4081500</v>
      </c>
      <c r="R884">
        <v>3348159.44</v>
      </c>
      <c r="S884">
        <v>733340.56</v>
      </c>
      <c r="T884" t="s">
        <v>73</v>
      </c>
      <c r="U884" t="str">
        <f t="shared" si="39"/>
        <v>2023-10</v>
      </c>
      <c r="V884">
        <f t="shared" si="40"/>
        <v>5</v>
      </c>
      <c r="W884" s="2">
        <f t="shared" si="41"/>
        <v>0.17967427661398996</v>
      </c>
    </row>
    <row r="885" spans="1:23">
      <c r="A885" t="s">
        <v>1625</v>
      </c>
      <c r="B885" s="1">
        <v>45671</v>
      </c>
      <c r="C885" s="1">
        <v>45674</v>
      </c>
      <c r="D885" t="s">
        <v>1135</v>
      </c>
      <c r="E885" t="s">
        <v>394</v>
      </c>
      <c r="F885" t="s">
        <v>23</v>
      </c>
      <c r="G885" t="s">
        <v>80</v>
      </c>
      <c r="H885" t="s">
        <v>45</v>
      </c>
      <c r="I885" t="s">
        <v>46</v>
      </c>
      <c r="J885" t="s">
        <v>27</v>
      </c>
      <c r="K885" t="s">
        <v>116</v>
      </c>
      <c r="L885" t="s">
        <v>207</v>
      </c>
      <c r="M885" t="s">
        <v>208</v>
      </c>
      <c r="N885">
        <v>1</v>
      </c>
      <c r="O885">
        <v>117900</v>
      </c>
      <c r="P885">
        <v>0.3</v>
      </c>
      <c r="Q885">
        <v>82530</v>
      </c>
      <c r="R885">
        <v>67633.16</v>
      </c>
      <c r="S885">
        <v>14896.84</v>
      </c>
      <c r="T885" t="s">
        <v>40</v>
      </c>
      <c r="U885" t="str">
        <f t="shared" si="39"/>
        <v>2025-01</v>
      </c>
      <c r="V885">
        <f t="shared" si="40"/>
        <v>3</v>
      </c>
      <c r="W885" s="2">
        <f t="shared" si="41"/>
        <v>0.18050212044105174</v>
      </c>
    </row>
    <row r="886" spans="1:23">
      <c r="A886" t="s">
        <v>1626</v>
      </c>
      <c r="B886" s="1">
        <v>45958</v>
      </c>
      <c r="C886" s="1">
        <v>45963</v>
      </c>
      <c r="D886" t="s">
        <v>1627</v>
      </c>
      <c r="E886" t="s">
        <v>820</v>
      </c>
      <c r="F886" t="s">
        <v>23</v>
      </c>
      <c r="G886" t="s">
        <v>44</v>
      </c>
      <c r="H886" t="s">
        <v>45</v>
      </c>
      <c r="I886" t="s">
        <v>46</v>
      </c>
      <c r="J886" t="s">
        <v>27</v>
      </c>
      <c r="K886" t="s">
        <v>179</v>
      </c>
      <c r="L886" t="s">
        <v>244</v>
      </c>
      <c r="M886" t="s">
        <v>245</v>
      </c>
      <c r="N886">
        <v>1</v>
      </c>
      <c r="O886">
        <v>38100</v>
      </c>
      <c r="P886">
        <v>0</v>
      </c>
      <c r="Q886">
        <v>38100</v>
      </c>
      <c r="R886">
        <v>18383.04</v>
      </c>
      <c r="S886">
        <v>19716.96</v>
      </c>
      <c r="T886" t="s">
        <v>73</v>
      </c>
      <c r="U886" t="str">
        <f t="shared" si="39"/>
        <v>2025-10</v>
      </c>
      <c r="V886">
        <f t="shared" si="40"/>
        <v>5</v>
      </c>
      <c r="W886" s="2">
        <f t="shared" si="41"/>
        <v>0.51750551181102356</v>
      </c>
    </row>
    <row r="887" spans="1:23">
      <c r="A887" t="s">
        <v>1628</v>
      </c>
      <c r="B887" s="1">
        <v>45883</v>
      </c>
      <c r="C887" s="1">
        <v>45888</v>
      </c>
      <c r="D887" t="s">
        <v>643</v>
      </c>
      <c r="E887" t="s">
        <v>1102</v>
      </c>
      <c r="F887" t="s">
        <v>54</v>
      </c>
      <c r="G887" t="s">
        <v>55</v>
      </c>
      <c r="H887" t="s">
        <v>56</v>
      </c>
      <c r="I887" t="s">
        <v>57</v>
      </c>
      <c r="J887" t="s">
        <v>47</v>
      </c>
      <c r="K887" t="s">
        <v>48</v>
      </c>
      <c r="L887" t="s">
        <v>225</v>
      </c>
      <c r="M887" t="s">
        <v>226</v>
      </c>
      <c r="N887">
        <v>3</v>
      </c>
      <c r="O887">
        <v>238900</v>
      </c>
      <c r="P887">
        <v>0.2</v>
      </c>
      <c r="Q887">
        <v>573360</v>
      </c>
      <c r="R887">
        <v>408960.54</v>
      </c>
      <c r="S887">
        <v>164399.46</v>
      </c>
      <c r="T887" t="s">
        <v>60</v>
      </c>
      <c r="U887" t="str">
        <f t="shared" si="39"/>
        <v>2025-08</v>
      </c>
      <c r="V887">
        <f t="shared" si="40"/>
        <v>5</v>
      </c>
      <c r="W887" s="2">
        <f t="shared" si="41"/>
        <v>0.28672990791125991</v>
      </c>
    </row>
    <row r="888" spans="1:23">
      <c r="A888" t="s">
        <v>1629</v>
      </c>
      <c r="B888" s="1">
        <v>45616</v>
      </c>
      <c r="C888" s="1">
        <v>45622</v>
      </c>
      <c r="D888" t="s">
        <v>177</v>
      </c>
      <c r="E888" t="s">
        <v>722</v>
      </c>
      <c r="F888" t="s">
        <v>23</v>
      </c>
      <c r="G888" t="s">
        <v>156</v>
      </c>
      <c r="H888" t="s">
        <v>157</v>
      </c>
      <c r="I888" t="s">
        <v>57</v>
      </c>
      <c r="J888" t="s">
        <v>27</v>
      </c>
      <c r="K888" t="s">
        <v>28</v>
      </c>
      <c r="L888" t="s">
        <v>71</v>
      </c>
      <c r="M888" t="s">
        <v>72</v>
      </c>
      <c r="N888">
        <v>2</v>
      </c>
      <c r="O888">
        <v>47900</v>
      </c>
      <c r="P888">
        <v>0.05</v>
      </c>
      <c r="Q888">
        <v>91010</v>
      </c>
      <c r="R888">
        <v>51318.43</v>
      </c>
      <c r="S888">
        <v>39691.57</v>
      </c>
      <c r="T888" t="s">
        <v>40</v>
      </c>
      <c r="U888" t="str">
        <f t="shared" si="39"/>
        <v>2024-11</v>
      </c>
      <c r="V888">
        <f t="shared" si="40"/>
        <v>6</v>
      </c>
      <c r="W888" s="2">
        <f t="shared" si="41"/>
        <v>0.43612317327766181</v>
      </c>
    </row>
    <row r="889" spans="1:23">
      <c r="A889" t="s">
        <v>1630</v>
      </c>
      <c r="B889" s="1">
        <v>45896</v>
      </c>
      <c r="C889" s="1">
        <v>45903</v>
      </c>
      <c r="D889" t="s">
        <v>93</v>
      </c>
      <c r="E889" t="s">
        <v>1096</v>
      </c>
      <c r="F889" t="s">
        <v>23</v>
      </c>
      <c r="G889" t="s">
        <v>55</v>
      </c>
      <c r="H889" t="s">
        <v>56</v>
      </c>
      <c r="I889" t="s">
        <v>57</v>
      </c>
      <c r="J889" t="s">
        <v>47</v>
      </c>
      <c r="K889" t="s">
        <v>48</v>
      </c>
      <c r="L889" t="s">
        <v>49</v>
      </c>
      <c r="M889" t="s">
        <v>50</v>
      </c>
      <c r="N889">
        <v>2</v>
      </c>
      <c r="O889">
        <v>540100</v>
      </c>
      <c r="P889">
        <v>0.2</v>
      </c>
      <c r="Q889">
        <v>864160</v>
      </c>
      <c r="R889">
        <v>702682.78</v>
      </c>
      <c r="S889">
        <v>161477.22</v>
      </c>
      <c r="T889" t="s">
        <v>40</v>
      </c>
      <c r="U889" t="str">
        <f t="shared" si="39"/>
        <v>2025-08</v>
      </c>
      <c r="V889">
        <f t="shared" si="40"/>
        <v>7</v>
      </c>
      <c r="W889" s="2">
        <f t="shared" si="41"/>
        <v>0.18686032679133494</v>
      </c>
    </row>
    <row r="890" spans="1:23">
      <c r="A890" t="s">
        <v>1631</v>
      </c>
      <c r="B890" s="1">
        <v>45799</v>
      </c>
      <c r="C890" s="1">
        <v>45806</v>
      </c>
      <c r="D890" t="s">
        <v>269</v>
      </c>
      <c r="E890" t="s">
        <v>1022</v>
      </c>
      <c r="F890" t="s">
        <v>23</v>
      </c>
      <c r="G890" t="s">
        <v>55</v>
      </c>
      <c r="H890" t="s">
        <v>56</v>
      </c>
      <c r="I890" t="s">
        <v>57</v>
      </c>
      <c r="J890" t="s">
        <v>47</v>
      </c>
      <c r="K890" t="s">
        <v>48</v>
      </c>
      <c r="L890" t="s">
        <v>225</v>
      </c>
      <c r="M890" t="s">
        <v>226</v>
      </c>
      <c r="N890">
        <v>6</v>
      </c>
      <c r="O890">
        <v>251900</v>
      </c>
      <c r="P890">
        <v>0.25</v>
      </c>
      <c r="Q890">
        <v>1133550</v>
      </c>
      <c r="R890">
        <v>972649.4</v>
      </c>
      <c r="S890">
        <v>160900.6</v>
      </c>
      <c r="T890" t="s">
        <v>73</v>
      </c>
      <c r="U890" t="str">
        <f t="shared" si="39"/>
        <v>2025-05</v>
      </c>
      <c r="V890">
        <f t="shared" si="40"/>
        <v>7</v>
      </c>
      <c r="W890" s="2">
        <f t="shared" si="41"/>
        <v>0.14194398129769309</v>
      </c>
    </row>
    <row r="891" spans="1:23">
      <c r="A891" t="s">
        <v>1632</v>
      </c>
      <c r="B891" s="1">
        <v>45212</v>
      </c>
      <c r="C891" s="1">
        <v>45214</v>
      </c>
      <c r="D891" t="s">
        <v>1427</v>
      </c>
      <c r="E891" t="s">
        <v>104</v>
      </c>
      <c r="F891" t="s">
        <v>23</v>
      </c>
      <c r="G891" t="s">
        <v>44</v>
      </c>
      <c r="H891" t="s">
        <v>45</v>
      </c>
      <c r="I891" t="s">
        <v>46</v>
      </c>
      <c r="J891" t="s">
        <v>27</v>
      </c>
      <c r="K891" t="s">
        <v>100</v>
      </c>
      <c r="L891" t="s">
        <v>101</v>
      </c>
      <c r="M891" t="s">
        <v>102</v>
      </c>
      <c r="N891">
        <v>4</v>
      </c>
      <c r="O891">
        <v>58100</v>
      </c>
      <c r="P891">
        <v>0</v>
      </c>
      <c r="Q891">
        <v>232400</v>
      </c>
      <c r="R891">
        <v>121443.01</v>
      </c>
      <c r="S891">
        <v>110956.99</v>
      </c>
      <c r="T891" t="s">
        <v>73</v>
      </c>
      <c r="U891" t="str">
        <f t="shared" si="39"/>
        <v>2023-10</v>
      </c>
      <c r="V891">
        <f t="shared" si="40"/>
        <v>2</v>
      </c>
      <c r="W891" s="2">
        <f t="shared" si="41"/>
        <v>0.47743971600688473</v>
      </c>
    </row>
    <row r="892" spans="1:23">
      <c r="A892" t="s">
        <v>1633</v>
      </c>
      <c r="B892" s="1">
        <v>45279</v>
      </c>
      <c r="C892" s="1">
        <v>45282</v>
      </c>
      <c r="D892" t="s">
        <v>822</v>
      </c>
      <c r="E892" t="s">
        <v>595</v>
      </c>
      <c r="F892" t="s">
        <v>54</v>
      </c>
      <c r="G892" t="s">
        <v>24</v>
      </c>
      <c r="H892" t="s">
        <v>25</v>
      </c>
      <c r="I892" t="s">
        <v>26</v>
      </c>
      <c r="J892" t="s">
        <v>47</v>
      </c>
      <c r="K892" t="s">
        <v>173</v>
      </c>
      <c r="L892" t="s">
        <v>203</v>
      </c>
      <c r="M892" t="s">
        <v>204</v>
      </c>
      <c r="N892">
        <v>1</v>
      </c>
      <c r="O892">
        <v>3052300</v>
      </c>
      <c r="P892">
        <v>0.1</v>
      </c>
      <c r="Q892">
        <v>2747070</v>
      </c>
      <c r="R892">
        <v>2458786.48</v>
      </c>
      <c r="S892">
        <v>288283.52000000002</v>
      </c>
      <c r="T892" t="s">
        <v>40</v>
      </c>
      <c r="U892" t="str">
        <f t="shared" si="39"/>
        <v>2023-12</v>
      </c>
      <c r="V892">
        <f t="shared" si="40"/>
        <v>3</v>
      </c>
      <c r="W892" s="2">
        <f t="shared" si="41"/>
        <v>0.10494218203394891</v>
      </c>
    </row>
    <row r="893" spans="1:23">
      <c r="A893" t="s">
        <v>1634</v>
      </c>
      <c r="B893" s="1">
        <v>45253</v>
      </c>
      <c r="C893" s="1">
        <v>45256</v>
      </c>
      <c r="D893" t="s">
        <v>186</v>
      </c>
      <c r="E893" t="s">
        <v>1298</v>
      </c>
      <c r="F893" t="s">
        <v>54</v>
      </c>
      <c r="G893" t="s">
        <v>24</v>
      </c>
      <c r="H893" t="s">
        <v>25</v>
      </c>
      <c r="I893" t="s">
        <v>26</v>
      </c>
      <c r="J893" t="s">
        <v>47</v>
      </c>
      <c r="K893" t="s">
        <v>48</v>
      </c>
      <c r="L893" t="s">
        <v>225</v>
      </c>
      <c r="M893" t="s">
        <v>226</v>
      </c>
      <c r="N893">
        <v>5</v>
      </c>
      <c r="O893">
        <v>242700</v>
      </c>
      <c r="P893">
        <v>0.15</v>
      </c>
      <c r="Q893">
        <v>1031475</v>
      </c>
      <c r="R893">
        <v>700765.11</v>
      </c>
      <c r="S893">
        <v>330709.89</v>
      </c>
      <c r="T893" t="s">
        <v>40</v>
      </c>
      <c r="U893" t="str">
        <f t="shared" si="39"/>
        <v>2023-11</v>
      </c>
      <c r="V893">
        <f t="shared" si="40"/>
        <v>3</v>
      </c>
      <c r="W893" s="2">
        <f t="shared" si="41"/>
        <v>0.32061842507089366</v>
      </c>
    </row>
    <row r="894" spans="1:23">
      <c r="A894" t="s">
        <v>1635</v>
      </c>
      <c r="B894" s="1">
        <v>45200</v>
      </c>
      <c r="C894" s="1">
        <v>45204</v>
      </c>
      <c r="D894" t="s">
        <v>816</v>
      </c>
      <c r="E894" t="s">
        <v>590</v>
      </c>
      <c r="F894" t="s">
        <v>35</v>
      </c>
      <c r="G894" t="s">
        <v>169</v>
      </c>
      <c r="H894" t="s">
        <v>157</v>
      </c>
      <c r="I894" t="s">
        <v>57</v>
      </c>
      <c r="J894" t="s">
        <v>27</v>
      </c>
      <c r="K894" t="s">
        <v>179</v>
      </c>
      <c r="L894" t="s">
        <v>244</v>
      </c>
      <c r="M894" t="s">
        <v>245</v>
      </c>
      <c r="N894">
        <v>2</v>
      </c>
      <c r="O894">
        <v>39800</v>
      </c>
      <c r="P894">
        <v>0.3</v>
      </c>
      <c r="Q894">
        <v>55720</v>
      </c>
      <c r="R894">
        <v>37949.160000000003</v>
      </c>
      <c r="S894">
        <v>17770.84</v>
      </c>
      <c r="T894" t="s">
        <v>31</v>
      </c>
      <c r="U894" t="str">
        <f t="shared" si="39"/>
        <v>2023-10</v>
      </c>
      <c r="V894">
        <f t="shared" si="40"/>
        <v>4</v>
      </c>
      <c r="W894" s="2">
        <f t="shared" si="41"/>
        <v>0.31893108399138548</v>
      </c>
    </row>
    <row r="895" spans="1:23">
      <c r="A895" t="s">
        <v>1636</v>
      </c>
      <c r="B895" s="1">
        <v>45682</v>
      </c>
      <c r="C895" s="1">
        <v>45685</v>
      </c>
      <c r="D895" t="s">
        <v>710</v>
      </c>
      <c r="E895" t="s">
        <v>448</v>
      </c>
      <c r="F895" t="s">
        <v>35</v>
      </c>
      <c r="G895" t="s">
        <v>55</v>
      </c>
      <c r="H895" t="s">
        <v>56</v>
      </c>
      <c r="I895" t="s">
        <v>57</v>
      </c>
      <c r="J895" t="s">
        <v>47</v>
      </c>
      <c r="K895" t="s">
        <v>142</v>
      </c>
      <c r="L895" t="s">
        <v>158</v>
      </c>
      <c r="M895" t="s">
        <v>159</v>
      </c>
      <c r="N895">
        <v>6</v>
      </c>
      <c r="O895">
        <v>8544600</v>
      </c>
      <c r="P895">
        <v>0</v>
      </c>
      <c r="Q895">
        <v>51267600</v>
      </c>
      <c r="R895">
        <v>38966463.009999998</v>
      </c>
      <c r="S895">
        <v>12301136.99</v>
      </c>
      <c r="T895" t="s">
        <v>40</v>
      </c>
      <c r="U895" t="str">
        <f t="shared" si="39"/>
        <v>2025-01</v>
      </c>
      <c r="V895">
        <f t="shared" si="40"/>
        <v>3</v>
      </c>
      <c r="W895" s="2">
        <f t="shared" si="41"/>
        <v>0.23993978633678972</v>
      </c>
    </row>
    <row r="896" spans="1:23">
      <c r="A896" t="s">
        <v>1637</v>
      </c>
      <c r="B896" s="1">
        <v>45117</v>
      </c>
      <c r="C896" s="1">
        <v>45120</v>
      </c>
      <c r="D896" t="s">
        <v>643</v>
      </c>
      <c r="E896" t="s">
        <v>370</v>
      </c>
      <c r="F896" t="s">
        <v>23</v>
      </c>
      <c r="G896" t="s">
        <v>169</v>
      </c>
      <c r="H896" t="s">
        <v>157</v>
      </c>
      <c r="I896" t="s">
        <v>57</v>
      </c>
      <c r="J896" t="s">
        <v>36</v>
      </c>
      <c r="K896" t="s">
        <v>81</v>
      </c>
      <c r="L896" t="s">
        <v>82</v>
      </c>
      <c r="M896" t="s">
        <v>83</v>
      </c>
      <c r="N896">
        <v>2</v>
      </c>
      <c r="O896">
        <v>702400</v>
      </c>
      <c r="P896">
        <v>0</v>
      </c>
      <c r="Q896">
        <v>1404800</v>
      </c>
      <c r="R896">
        <v>966148.76</v>
      </c>
      <c r="S896">
        <v>438651.24</v>
      </c>
      <c r="T896" t="s">
        <v>60</v>
      </c>
      <c r="U896" t="str">
        <f t="shared" si="39"/>
        <v>2023-07</v>
      </c>
      <c r="V896">
        <f t="shared" si="40"/>
        <v>3</v>
      </c>
      <c r="W896" s="2">
        <f t="shared" si="41"/>
        <v>0.3122517369020501</v>
      </c>
    </row>
    <row r="897" spans="1:23">
      <c r="A897" t="s">
        <v>1638</v>
      </c>
      <c r="B897" s="1">
        <v>45742</v>
      </c>
      <c r="C897" s="1">
        <v>45748</v>
      </c>
      <c r="D897" t="s">
        <v>1587</v>
      </c>
      <c r="E897" t="s">
        <v>860</v>
      </c>
      <c r="F897" t="s">
        <v>35</v>
      </c>
      <c r="G897" t="s">
        <v>64</v>
      </c>
      <c r="H897" t="s">
        <v>65</v>
      </c>
      <c r="I897" t="s">
        <v>57</v>
      </c>
      <c r="J897" t="s">
        <v>36</v>
      </c>
      <c r="K897" t="s">
        <v>81</v>
      </c>
      <c r="L897" t="s">
        <v>215</v>
      </c>
      <c r="M897" t="s">
        <v>216</v>
      </c>
      <c r="N897">
        <v>3</v>
      </c>
      <c r="O897">
        <v>1614000</v>
      </c>
      <c r="P897">
        <v>0.2</v>
      </c>
      <c r="Q897">
        <v>3873600</v>
      </c>
      <c r="R897">
        <v>3369763.81</v>
      </c>
      <c r="S897">
        <v>503836.19</v>
      </c>
      <c r="T897" t="s">
        <v>60</v>
      </c>
      <c r="U897" t="str">
        <f t="shared" si="39"/>
        <v>2025-03</v>
      </c>
      <c r="V897">
        <f t="shared" si="40"/>
        <v>6</v>
      </c>
      <c r="W897" s="2">
        <f t="shared" si="41"/>
        <v>0.13006923533663775</v>
      </c>
    </row>
    <row r="898" spans="1:23">
      <c r="A898" t="s">
        <v>1639</v>
      </c>
      <c r="B898" s="1">
        <v>45190</v>
      </c>
      <c r="C898" s="1">
        <v>45195</v>
      </c>
      <c r="D898" t="s">
        <v>1040</v>
      </c>
      <c r="E898" t="s">
        <v>320</v>
      </c>
      <c r="F898" t="s">
        <v>23</v>
      </c>
      <c r="G898" t="s">
        <v>64</v>
      </c>
      <c r="H898" t="s">
        <v>65</v>
      </c>
      <c r="I898" t="s">
        <v>57</v>
      </c>
      <c r="J898" t="s">
        <v>36</v>
      </c>
      <c r="K898" t="s">
        <v>37</v>
      </c>
      <c r="L898" t="s">
        <v>58</v>
      </c>
      <c r="M898" t="s">
        <v>59</v>
      </c>
      <c r="N898">
        <v>2</v>
      </c>
      <c r="O898">
        <v>793400</v>
      </c>
      <c r="P898">
        <v>0.05</v>
      </c>
      <c r="Q898">
        <v>1507460</v>
      </c>
      <c r="R898">
        <v>1079348.49</v>
      </c>
      <c r="S898">
        <v>428111.51</v>
      </c>
      <c r="T898" t="s">
        <v>40</v>
      </c>
      <c r="U898" t="str">
        <f t="shared" si="39"/>
        <v>2023-09</v>
      </c>
      <c r="V898">
        <f t="shared" si="40"/>
        <v>5</v>
      </c>
      <c r="W898" s="2">
        <f t="shared" si="41"/>
        <v>0.28399527018959042</v>
      </c>
    </row>
    <row r="899" spans="1:23">
      <c r="A899" t="s">
        <v>1640</v>
      </c>
      <c r="B899" s="1">
        <v>45849</v>
      </c>
      <c r="C899" s="1">
        <v>45854</v>
      </c>
      <c r="D899" t="s">
        <v>564</v>
      </c>
      <c r="E899" t="s">
        <v>1086</v>
      </c>
      <c r="F899" t="s">
        <v>54</v>
      </c>
      <c r="G899" t="s">
        <v>156</v>
      </c>
      <c r="H899" t="s">
        <v>157</v>
      </c>
      <c r="I899" t="s">
        <v>57</v>
      </c>
      <c r="J899" t="s">
        <v>36</v>
      </c>
      <c r="K899" t="s">
        <v>89</v>
      </c>
      <c r="L899" t="s">
        <v>90</v>
      </c>
      <c r="M899" t="s">
        <v>91</v>
      </c>
      <c r="N899">
        <v>1</v>
      </c>
      <c r="O899">
        <v>2958900</v>
      </c>
      <c r="P899">
        <v>0.05</v>
      </c>
      <c r="Q899">
        <v>2810955</v>
      </c>
      <c r="R899">
        <v>2172201.2200000002</v>
      </c>
      <c r="S899">
        <v>638753.78</v>
      </c>
      <c r="T899" t="s">
        <v>60</v>
      </c>
      <c r="U899" t="str">
        <f t="shared" ref="U899:U962" si="42">TEXT(B899,"yyyy-mm")</f>
        <v>2025-07</v>
      </c>
      <c r="V899">
        <f t="shared" ref="V899:V962" si="43">C899-B899</f>
        <v>5</v>
      </c>
      <c r="W899" s="2">
        <f t="shared" ref="W899:W962" si="44">IF(Q899=0,0,S899/Q899)</f>
        <v>0.22723728412585759</v>
      </c>
    </row>
    <row r="900" spans="1:23">
      <c r="A900" t="s">
        <v>1641</v>
      </c>
      <c r="B900" s="1">
        <v>45617</v>
      </c>
      <c r="C900" s="1">
        <v>45623</v>
      </c>
      <c r="D900" t="s">
        <v>42</v>
      </c>
      <c r="E900" t="s">
        <v>1280</v>
      </c>
      <c r="F900" t="s">
        <v>35</v>
      </c>
      <c r="G900" t="s">
        <v>87</v>
      </c>
      <c r="H900" t="s">
        <v>88</v>
      </c>
      <c r="I900" t="s">
        <v>46</v>
      </c>
      <c r="J900" t="s">
        <v>36</v>
      </c>
      <c r="K900" t="s">
        <v>81</v>
      </c>
      <c r="L900" t="s">
        <v>82</v>
      </c>
      <c r="M900" t="s">
        <v>83</v>
      </c>
      <c r="N900">
        <v>2</v>
      </c>
      <c r="O900">
        <v>651500</v>
      </c>
      <c r="P900">
        <v>0</v>
      </c>
      <c r="Q900">
        <v>1303000</v>
      </c>
      <c r="R900">
        <v>886312.34</v>
      </c>
      <c r="S900">
        <v>416687.66</v>
      </c>
      <c r="T900" t="s">
        <v>40</v>
      </c>
      <c r="U900" t="str">
        <f t="shared" si="42"/>
        <v>2024-11</v>
      </c>
      <c r="V900">
        <f t="shared" si="43"/>
        <v>6</v>
      </c>
      <c r="W900" s="2">
        <f t="shared" si="44"/>
        <v>0.31979099002302375</v>
      </c>
    </row>
    <row r="901" spans="1:23">
      <c r="A901" t="s">
        <v>1642</v>
      </c>
      <c r="B901" s="1">
        <v>45683</v>
      </c>
      <c r="C901" s="1">
        <v>45686</v>
      </c>
      <c r="D901" t="s">
        <v>242</v>
      </c>
      <c r="E901" t="s">
        <v>645</v>
      </c>
      <c r="F901" t="s">
        <v>35</v>
      </c>
      <c r="G901" t="s">
        <v>95</v>
      </c>
      <c r="H901" t="s">
        <v>96</v>
      </c>
      <c r="I901" t="s">
        <v>26</v>
      </c>
      <c r="J901" t="s">
        <v>36</v>
      </c>
      <c r="K901" t="s">
        <v>37</v>
      </c>
      <c r="L901" t="s">
        <v>58</v>
      </c>
      <c r="M901" t="s">
        <v>59</v>
      </c>
      <c r="N901">
        <v>2</v>
      </c>
      <c r="O901">
        <v>817200</v>
      </c>
      <c r="P901">
        <v>0.05</v>
      </c>
      <c r="Q901">
        <v>1552680</v>
      </c>
      <c r="R901">
        <v>1011661.49</v>
      </c>
      <c r="S901">
        <v>541018.51</v>
      </c>
      <c r="T901" t="s">
        <v>31</v>
      </c>
      <c r="U901" t="str">
        <f t="shared" si="42"/>
        <v>2025-01</v>
      </c>
      <c r="V901">
        <f t="shared" si="43"/>
        <v>3</v>
      </c>
      <c r="W901" s="2">
        <f t="shared" si="44"/>
        <v>0.34844173300358089</v>
      </c>
    </row>
    <row r="902" spans="1:23">
      <c r="A902" t="s">
        <v>1643</v>
      </c>
      <c r="B902" s="1">
        <v>44999</v>
      </c>
      <c r="C902" s="1">
        <v>45004</v>
      </c>
      <c r="D902" t="s">
        <v>333</v>
      </c>
      <c r="E902" t="s">
        <v>754</v>
      </c>
      <c r="F902" t="s">
        <v>35</v>
      </c>
      <c r="G902" t="s">
        <v>87</v>
      </c>
      <c r="H902" t="s">
        <v>88</v>
      </c>
      <c r="I902" t="s">
        <v>46</v>
      </c>
      <c r="J902" t="s">
        <v>47</v>
      </c>
      <c r="K902" t="s">
        <v>142</v>
      </c>
      <c r="L902" t="s">
        <v>158</v>
      </c>
      <c r="M902" t="s">
        <v>159</v>
      </c>
      <c r="N902">
        <v>1</v>
      </c>
      <c r="O902">
        <v>8345100</v>
      </c>
      <c r="P902">
        <v>0</v>
      </c>
      <c r="Q902">
        <v>8345100</v>
      </c>
      <c r="R902">
        <v>6306116.1299999999</v>
      </c>
      <c r="S902">
        <v>2038983.87</v>
      </c>
      <c r="T902" t="s">
        <v>73</v>
      </c>
      <c r="U902" t="str">
        <f t="shared" si="42"/>
        <v>2023-03</v>
      </c>
      <c r="V902">
        <f t="shared" si="43"/>
        <v>5</v>
      </c>
      <c r="W902" s="2">
        <f t="shared" si="44"/>
        <v>0.24433306611065178</v>
      </c>
    </row>
    <row r="903" spans="1:23">
      <c r="A903" t="s">
        <v>1644</v>
      </c>
      <c r="B903" s="1">
        <v>45489</v>
      </c>
      <c r="C903" s="1">
        <v>45492</v>
      </c>
      <c r="D903" t="s">
        <v>302</v>
      </c>
      <c r="E903" t="s">
        <v>558</v>
      </c>
      <c r="F903" t="s">
        <v>35</v>
      </c>
      <c r="G903" t="s">
        <v>87</v>
      </c>
      <c r="H903" t="s">
        <v>88</v>
      </c>
      <c r="I903" t="s">
        <v>46</v>
      </c>
      <c r="J903" t="s">
        <v>27</v>
      </c>
      <c r="K903" t="s">
        <v>28</v>
      </c>
      <c r="L903" t="s">
        <v>29</v>
      </c>
      <c r="M903" t="s">
        <v>30</v>
      </c>
      <c r="N903">
        <v>1</v>
      </c>
      <c r="O903">
        <v>66800</v>
      </c>
      <c r="P903">
        <v>0</v>
      </c>
      <c r="Q903">
        <v>66800</v>
      </c>
      <c r="R903">
        <v>38849.17</v>
      </c>
      <c r="S903">
        <v>27950.83</v>
      </c>
      <c r="T903" t="s">
        <v>31</v>
      </c>
      <c r="U903" t="str">
        <f t="shared" si="42"/>
        <v>2024-07</v>
      </c>
      <c r="V903">
        <f t="shared" si="43"/>
        <v>3</v>
      </c>
      <c r="W903" s="2">
        <f t="shared" si="44"/>
        <v>0.41842559880239522</v>
      </c>
    </row>
    <row r="904" spans="1:23">
      <c r="A904" t="s">
        <v>1645</v>
      </c>
      <c r="B904" s="1">
        <v>45088</v>
      </c>
      <c r="C904" s="1">
        <v>45091</v>
      </c>
      <c r="D904" t="s">
        <v>1272</v>
      </c>
      <c r="E904" t="s">
        <v>1646</v>
      </c>
      <c r="F904" t="s">
        <v>23</v>
      </c>
      <c r="G904" t="s">
        <v>169</v>
      </c>
      <c r="H904" t="s">
        <v>157</v>
      </c>
      <c r="I904" t="s">
        <v>57</v>
      </c>
      <c r="J904" t="s">
        <v>27</v>
      </c>
      <c r="K904" t="s">
        <v>179</v>
      </c>
      <c r="L904" t="s">
        <v>244</v>
      </c>
      <c r="M904" t="s">
        <v>245</v>
      </c>
      <c r="N904">
        <v>8</v>
      </c>
      <c r="O904">
        <v>36300</v>
      </c>
      <c r="P904">
        <v>0.1</v>
      </c>
      <c r="Q904">
        <v>261360</v>
      </c>
      <c r="R904">
        <v>154606.1</v>
      </c>
      <c r="S904">
        <v>106753.9</v>
      </c>
      <c r="T904" t="s">
        <v>73</v>
      </c>
      <c r="U904" t="str">
        <f t="shared" si="42"/>
        <v>2023-06</v>
      </c>
      <c r="V904">
        <f t="shared" si="43"/>
        <v>3</v>
      </c>
      <c r="W904" s="2">
        <f t="shared" si="44"/>
        <v>0.40845538720538721</v>
      </c>
    </row>
    <row r="905" spans="1:23">
      <c r="A905" t="s">
        <v>1647</v>
      </c>
      <c r="B905" s="1">
        <v>45319</v>
      </c>
      <c r="C905" s="1">
        <v>45324</v>
      </c>
      <c r="D905" t="s">
        <v>278</v>
      </c>
      <c r="E905" t="s">
        <v>1648</v>
      </c>
      <c r="F905" t="s">
        <v>23</v>
      </c>
      <c r="G905" t="s">
        <v>55</v>
      </c>
      <c r="H905" t="s">
        <v>56</v>
      </c>
      <c r="I905" t="s">
        <v>57</v>
      </c>
      <c r="J905" t="s">
        <v>47</v>
      </c>
      <c r="K905" t="s">
        <v>48</v>
      </c>
      <c r="L905" t="s">
        <v>66</v>
      </c>
      <c r="M905" t="s">
        <v>67</v>
      </c>
      <c r="N905">
        <v>3</v>
      </c>
      <c r="O905">
        <v>113800</v>
      </c>
      <c r="P905">
        <v>0.1</v>
      </c>
      <c r="Q905">
        <v>307260</v>
      </c>
      <c r="R905">
        <v>193651.22</v>
      </c>
      <c r="S905">
        <v>113608.78</v>
      </c>
      <c r="T905" t="s">
        <v>73</v>
      </c>
      <c r="U905" t="str">
        <f t="shared" si="42"/>
        <v>2024-01</v>
      </c>
      <c r="V905">
        <f t="shared" si="43"/>
        <v>5</v>
      </c>
      <c r="W905" s="2">
        <f t="shared" si="44"/>
        <v>0.36974803098353187</v>
      </c>
    </row>
    <row r="906" spans="1:23">
      <c r="A906" t="s">
        <v>1649</v>
      </c>
      <c r="B906" s="1">
        <v>45307</v>
      </c>
      <c r="C906" s="1">
        <v>45310</v>
      </c>
      <c r="D906" t="s">
        <v>516</v>
      </c>
      <c r="E906" t="s">
        <v>1025</v>
      </c>
      <c r="F906" t="s">
        <v>23</v>
      </c>
      <c r="G906" t="s">
        <v>55</v>
      </c>
      <c r="H906" t="s">
        <v>56</v>
      </c>
      <c r="I906" t="s">
        <v>57</v>
      </c>
      <c r="J906" t="s">
        <v>36</v>
      </c>
      <c r="K906" t="s">
        <v>81</v>
      </c>
      <c r="L906" t="s">
        <v>215</v>
      </c>
      <c r="M906" t="s">
        <v>216</v>
      </c>
      <c r="N906">
        <v>3</v>
      </c>
      <c r="O906">
        <v>1680000</v>
      </c>
      <c r="P906">
        <v>0.05</v>
      </c>
      <c r="Q906">
        <v>4788000</v>
      </c>
      <c r="R906">
        <v>3168174.67</v>
      </c>
      <c r="S906">
        <v>1619825.33</v>
      </c>
      <c r="T906" t="s">
        <v>73</v>
      </c>
      <c r="U906" t="str">
        <f t="shared" si="42"/>
        <v>2024-01</v>
      </c>
      <c r="V906">
        <f t="shared" si="43"/>
        <v>3</v>
      </c>
      <c r="W906" s="2">
        <f t="shared" si="44"/>
        <v>0.33830938387635756</v>
      </c>
    </row>
    <row r="907" spans="1:23">
      <c r="A907" t="s">
        <v>1650</v>
      </c>
      <c r="B907" s="1">
        <v>45489</v>
      </c>
      <c r="C907" s="1">
        <v>45492</v>
      </c>
      <c r="D907" t="s">
        <v>42</v>
      </c>
      <c r="E907" t="s">
        <v>372</v>
      </c>
      <c r="F907" t="s">
        <v>23</v>
      </c>
      <c r="G907" t="s">
        <v>156</v>
      </c>
      <c r="H907" t="s">
        <v>157</v>
      </c>
      <c r="I907" t="s">
        <v>57</v>
      </c>
      <c r="J907" t="s">
        <v>36</v>
      </c>
      <c r="K907" t="s">
        <v>37</v>
      </c>
      <c r="L907" t="s">
        <v>58</v>
      </c>
      <c r="M907" t="s">
        <v>59</v>
      </c>
      <c r="N907">
        <v>1</v>
      </c>
      <c r="O907">
        <v>845100</v>
      </c>
      <c r="P907">
        <v>0</v>
      </c>
      <c r="Q907">
        <v>845100</v>
      </c>
      <c r="R907">
        <v>542403.56000000006</v>
      </c>
      <c r="S907">
        <v>302696.44</v>
      </c>
      <c r="T907" t="s">
        <v>73</v>
      </c>
      <c r="U907" t="str">
        <f t="shared" si="42"/>
        <v>2024-07</v>
      </c>
      <c r="V907">
        <f t="shared" si="43"/>
        <v>3</v>
      </c>
      <c r="W907" s="2">
        <f t="shared" si="44"/>
        <v>0.35817825109454504</v>
      </c>
    </row>
    <row r="908" spans="1:23">
      <c r="A908" t="s">
        <v>1651</v>
      </c>
      <c r="B908" s="1">
        <v>45600</v>
      </c>
      <c r="C908" s="1">
        <v>45605</v>
      </c>
      <c r="D908" t="s">
        <v>843</v>
      </c>
      <c r="E908" t="s">
        <v>414</v>
      </c>
      <c r="F908" t="s">
        <v>23</v>
      </c>
      <c r="G908" t="s">
        <v>140</v>
      </c>
      <c r="H908" t="s">
        <v>141</v>
      </c>
      <c r="I908" t="s">
        <v>46</v>
      </c>
      <c r="J908" t="s">
        <v>36</v>
      </c>
      <c r="K908" t="s">
        <v>37</v>
      </c>
      <c r="L908" t="s">
        <v>38</v>
      </c>
      <c r="M908" t="s">
        <v>39</v>
      </c>
      <c r="N908">
        <v>2</v>
      </c>
      <c r="O908">
        <v>977800</v>
      </c>
      <c r="P908">
        <v>0.05</v>
      </c>
      <c r="Q908">
        <v>1857820</v>
      </c>
      <c r="R908">
        <v>1391689.62</v>
      </c>
      <c r="S908">
        <v>466130.38</v>
      </c>
      <c r="T908" t="s">
        <v>60</v>
      </c>
      <c r="U908" t="str">
        <f t="shared" si="42"/>
        <v>2024-11</v>
      </c>
      <c r="V908">
        <f t="shared" si="43"/>
        <v>5</v>
      </c>
      <c r="W908" s="2">
        <f t="shared" si="44"/>
        <v>0.25090179888256131</v>
      </c>
    </row>
    <row r="909" spans="1:23">
      <c r="A909" t="s">
        <v>1652</v>
      </c>
      <c r="B909" s="1">
        <v>45275</v>
      </c>
      <c r="C909" s="1">
        <v>45281</v>
      </c>
      <c r="D909" t="s">
        <v>853</v>
      </c>
      <c r="E909" t="s">
        <v>531</v>
      </c>
      <c r="F909" t="s">
        <v>35</v>
      </c>
      <c r="G909" t="s">
        <v>140</v>
      </c>
      <c r="H909" t="s">
        <v>141</v>
      </c>
      <c r="I909" t="s">
        <v>46</v>
      </c>
      <c r="J909" t="s">
        <v>36</v>
      </c>
      <c r="K909" t="s">
        <v>89</v>
      </c>
      <c r="L909" t="s">
        <v>90</v>
      </c>
      <c r="M909" t="s">
        <v>91</v>
      </c>
      <c r="N909">
        <v>3</v>
      </c>
      <c r="O909">
        <v>3224000</v>
      </c>
      <c r="P909">
        <v>0.05</v>
      </c>
      <c r="Q909">
        <v>9188400</v>
      </c>
      <c r="R909">
        <v>6614556.6100000003</v>
      </c>
      <c r="S909">
        <v>2573843.39</v>
      </c>
      <c r="T909" t="s">
        <v>31</v>
      </c>
      <c r="U909" t="str">
        <f t="shared" si="42"/>
        <v>2023-12</v>
      </c>
      <c r="V909">
        <f t="shared" si="43"/>
        <v>6</v>
      </c>
      <c r="W909" s="2">
        <f t="shared" si="44"/>
        <v>0.28011877911279442</v>
      </c>
    </row>
    <row r="910" spans="1:23">
      <c r="A910" t="s">
        <v>1653</v>
      </c>
      <c r="B910" s="1">
        <v>45572</v>
      </c>
      <c r="C910" s="1">
        <v>45576</v>
      </c>
      <c r="D910" t="s">
        <v>257</v>
      </c>
      <c r="E910" t="s">
        <v>414</v>
      </c>
      <c r="F910" t="s">
        <v>35</v>
      </c>
      <c r="G910" t="s">
        <v>80</v>
      </c>
      <c r="H910" t="s">
        <v>45</v>
      </c>
      <c r="I910" t="s">
        <v>46</v>
      </c>
      <c r="J910" t="s">
        <v>27</v>
      </c>
      <c r="K910" t="s">
        <v>100</v>
      </c>
      <c r="L910" t="s">
        <v>101</v>
      </c>
      <c r="M910" t="s">
        <v>102</v>
      </c>
      <c r="N910">
        <v>3</v>
      </c>
      <c r="O910">
        <v>59400</v>
      </c>
      <c r="P910">
        <v>0.05</v>
      </c>
      <c r="Q910">
        <v>169290</v>
      </c>
      <c r="R910">
        <v>102855.83</v>
      </c>
      <c r="S910">
        <v>66434.17</v>
      </c>
      <c r="T910" t="s">
        <v>73</v>
      </c>
      <c r="U910" t="str">
        <f t="shared" si="42"/>
        <v>2024-10</v>
      </c>
      <c r="V910">
        <f t="shared" si="43"/>
        <v>4</v>
      </c>
      <c r="W910" s="2">
        <f t="shared" si="44"/>
        <v>0.3924282001299545</v>
      </c>
    </row>
    <row r="911" spans="1:23">
      <c r="A911" t="s">
        <v>1654</v>
      </c>
      <c r="B911" s="1">
        <v>45932</v>
      </c>
      <c r="C911" s="1">
        <v>45934</v>
      </c>
      <c r="D911" t="s">
        <v>816</v>
      </c>
      <c r="E911" t="s">
        <v>297</v>
      </c>
      <c r="F911" t="s">
        <v>23</v>
      </c>
      <c r="G911" t="s">
        <v>80</v>
      </c>
      <c r="H911" t="s">
        <v>45</v>
      </c>
      <c r="I911" t="s">
        <v>46</v>
      </c>
      <c r="J911" t="s">
        <v>36</v>
      </c>
      <c r="K911" t="s">
        <v>37</v>
      </c>
      <c r="L911" t="s">
        <v>38</v>
      </c>
      <c r="M911" t="s">
        <v>39</v>
      </c>
      <c r="N911">
        <v>1</v>
      </c>
      <c r="O911">
        <v>929100</v>
      </c>
      <c r="P911">
        <v>0.3</v>
      </c>
      <c r="Q911">
        <v>650370</v>
      </c>
      <c r="R911">
        <v>647075.28</v>
      </c>
      <c r="S911">
        <v>3294.72</v>
      </c>
      <c r="T911" t="s">
        <v>31</v>
      </c>
      <c r="U911" t="str">
        <f t="shared" si="42"/>
        <v>2025-10</v>
      </c>
      <c r="V911">
        <f t="shared" si="43"/>
        <v>2</v>
      </c>
      <c r="W911" s="2">
        <f t="shared" si="44"/>
        <v>5.0659163245537157E-3</v>
      </c>
    </row>
    <row r="912" spans="1:23">
      <c r="A912" t="s">
        <v>1655</v>
      </c>
      <c r="B912" s="1">
        <v>45748</v>
      </c>
      <c r="C912" s="1">
        <v>45753</v>
      </c>
      <c r="D912" t="s">
        <v>686</v>
      </c>
      <c r="E912" t="s">
        <v>1656</v>
      </c>
      <c r="F912" t="s">
        <v>54</v>
      </c>
      <c r="G912" t="s">
        <v>169</v>
      </c>
      <c r="H912" t="s">
        <v>157</v>
      </c>
      <c r="I912" t="s">
        <v>57</v>
      </c>
      <c r="J912" t="s">
        <v>36</v>
      </c>
      <c r="K912" t="s">
        <v>81</v>
      </c>
      <c r="L912" t="s">
        <v>82</v>
      </c>
      <c r="M912" t="s">
        <v>83</v>
      </c>
      <c r="N912">
        <v>2</v>
      </c>
      <c r="O912">
        <v>636900</v>
      </c>
      <c r="P912">
        <v>0</v>
      </c>
      <c r="Q912">
        <v>1273800</v>
      </c>
      <c r="R912">
        <v>868237.18</v>
      </c>
      <c r="S912">
        <v>405562.82</v>
      </c>
      <c r="T912" t="s">
        <v>60</v>
      </c>
      <c r="U912" t="str">
        <f t="shared" si="42"/>
        <v>2025-04</v>
      </c>
      <c r="V912">
        <f t="shared" si="43"/>
        <v>5</v>
      </c>
      <c r="W912" s="2">
        <f t="shared" si="44"/>
        <v>0.31838814570576229</v>
      </c>
    </row>
    <row r="913" spans="1:23">
      <c r="A913" t="s">
        <v>1657</v>
      </c>
      <c r="B913" s="1">
        <v>46017</v>
      </c>
      <c r="C913" s="1">
        <v>46021</v>
      </c>
      <c r="D913" t="s">
        <v>1135</v>
      </c>
      <c r="E913" t="s">
        <v>823</v>
      </c>
      <c r="F913" t="s">
        <v>35</v>
      </c>
      <c r="G913" t="s">
        <v>64</v>
      </c>
      <c r="H913" t="s">
        <v>65</v>
      </c>
      <c r="I913" t="s">
        <v>57</v>
      </c>
      <c r="J913" t="s">
        <v>47</v>
      </c>
      <c r="K913" t="s">
        <v>48</v>
      </c>
      <c r="L913" t="s">
        <v>225</v>
      </c>
      <c r="M913" t="s">
        <v>226</v>
      </c>
      <c r="N913">
        <v>5</v>
      </c>
      <c r="O913">
        <v>229700</v>
      </c>
      <c r="P913">
        <v>0.25</v>
      </c>
      <c r="Q913">
        <v>861375</v>
      </c>
      <c r="R913">
        <v>670557.32999999996</v>
      </c>
      <c r="S913">
        <v>190817.67</v>
      </c>
      <c r="T913" t="s">
        <v>60</v>
      </c>
      <c r="U913" t="str">
        <f t="shared" si="42"/>
        <v>2025-12</v>
      </c>
      <c r="V913">
        <f t="shared" si="43"/>
        <v>4</v>
      </c>
      <c r="W913" s="2">
        <f t="shared" si="44"/>
        <v>0.22152682629516762</v>
      </c>
    </row>
    <row r="914" spans="1:23">
      <c r="A914" t="s">
        <v>1658</v>
      </c>
      <c r="B914" s="1">
        <v>45611</v>
      </c>
      <c r="C914" s="1">
        <v>45618</v>
      </c>
      <c r="D914" t="s">
        <v>472</v>
      </c>
      <c r="E914" t="s">
        <v>1659</v>
      </c>
      <c r="F914" t="s">
        <v>23</v>
      </c>
      <c r="G914" t="s">
        <v>44</v>
      </c>
      <c r="H914" t="s">
        <v>45</v>
      </c>
      <c r="I914" t="s">
        <v>46</v>
      </c>
      <c r="J914" t="s">
        <v>36</v>
      </c>
      <c r="K914" t="s">
        <v>81</v>
      </c>
      <c r="L914" t="s">
        <v>82</v>
      </c>
      <c r="M914" t="s">
        <v>83</v>
      </c>
      <c r="N914">
        <v>10</v>
      </c>
      <c r="O914">
        <v>643700</v>
      </c>
      <c r="P914">
        <v>0.1</v>
      </c>
      <c r="Q914">
        <v>5793300</v>
      </c>
      <c r="R914">
        <v>4245140.22</v>
      </c>
      <c r="S914">
        <v>1548159.78</v>
      </c>
      <c r="T914" t="s">
        <v>40</v>
      </c>
      <c r="U914" t="str">
        <f t="shared" si="42"/>
        <v>2024-11</v>
      </c>
      <c r="V914">
        <f t="shared" si="43"/>
        <v>7</v>
      </c>
      <c r="W914" s="2">
        <f t="shared" si="44"/>
        <v>0.26723279995857285</v>
      </c>
    </row>
    <row r="915" spans="1:23">
      <c r="A915" t="s">
        <v>1660</v>
      </c>
      <c r="B915" s="1">
        <v>45957</v>
      </c>
      <c r="C915" s="1">
        <v>45958</v>
      </c>
      <c r="D915" t="s">
        <v>853</v>
      </c>
      <c r="E915" t="s">
        <v>255</v>
      </c>
      <c r="F915" t="s">
        <v>54</v>
      </c>
      <c r="G915" t="s">
        <v>169</v>
      </c>
      <c r="H915" t="s">
        <v>157</v>
      </c>
      <c r="I915" t="s">
        <v>57</v>
      </c>
      <c r="J915" t="s">
        <v>36</v>
      </c>
      <c r="K915" t="s">
        <v>37</v>
      </c>
      <c r="L915" t="s">
        <v>58</v>
      </c>
      <c r="M915" t="s">
        <v>59</v>
      </c>
      <c r="N915">
        <v>3</v>
      </c>
      <c r="O915">
        <v>814900</v>
      </c>
      <c r="P915">
        <v>0.1</v>
      </c>
      <c r="Q915">
        <v>2200230</v>
      </c>
      <c r="R915">
        <v>1650976.02</v>
      </c>
      <c r="S915">
        <v>549253.98</v>
      </c>
      <c r="T915" t="s">
        <v>60</v>
      </c>
      <c r="U915" t="str">
        <f t="shared" si="42"/>
        <v>2025-10</v>
      </c>
      <c r="V915">
        <f t="shared" si="43"/>
        <v>1</v>
      </c>
      <c r="W915" s="2">
        <f t="shared" si="44"/>
        <v>0.24963480181617376</v>
      </c>
    </row>
    <row r="916" spans="1:23">
      <c r="A916" t="s">
        <v>1661</v>
      </c>
      <c r="B916" s="1">
        <v>45724</v>
      </c>
      <c r="C916" s="1">
        <v>45729</v>
      </c>
      <c r="D916" t="s">
        <v>871</v>
      </c>
      <c r="E916" t="s">
        <v>155</v>
      </c>
      <c r="F916" t="s">
        <v>23</v>
      </c>
      <c r="G916" t="s">
        <v>80</v>
      </c>
      <c r="H916" t="s">
        <v>45</v>
      </c>
      <c r="I916" t="s">
        <v>46</v>
      </c>
      <c r="J916" t="s">
        <v>36</v>
      </c>
      <c r="K916" t="s">
        <v>81</v>
      </c>
      <c r="L916" t="s">
        <v>82</v>
      </c>
      <c r="M916" t="s">
        <v>83</v>
      </c>
      <c r="N916">
        <v>1</v>
      </c>
      <c r="O916">
        <v>719000</v>
      </c>
      <c r="P916">
        <v>0.25</v>
      </c>
      <c r="Q916">
        <v>539250</v>
      </c>
      <c r="R916">
        <v>456457.62</v>
      </c>
      <c r="S916">
        <v>82792.38</v>
      </c>
      <c r="T916" t="s">
        <v>73</v>
      </c>
      <c r="U916" t="str">
        <f t="shared" si="42"/>
        <v>2025-03</v>
      </c>
      <c r="V916">
        <f t="shared" si="43"/>
        <v>5</v>
      </c>
      <c r="W916" s="2">
        <f t="shared" si="44"/>
        <v>0.15353246175243396</v>
      </c>
    </row>
    <row r="917" spans="1:23">
      <c r="A917" t="s">
        <v>1662</v>
      </c>
      <c r="B917" s="1">
        <v>44990</v>
      </c>
      <c r="C917" s="1">
        <v>44992</v>
      </c>
      <c r="D917" t="s">
        <v>1233</v>
      </c>
      <c r="E917" t="s">
        <v>234</v>
      </c>
      <c r="F917" t="s">
        <v>35</v>
      </c>
      <c r="G917" t="s">
        <v>24</v>
      </c>
      <c r="H917" t="s">
        <v>25</v>
      </c>
      <c r="I917" t="s">
        <v>26</v>
      </c>
      <c r="J917" t="s">
        <v>36</v>
      </c>
      <c r="K917" t="s">
        <v>89</v>
      </c>
      <c r="L917" t="s">
        <v>90</v>
      </c>
      <c r="M917" t="s">
        <v>91</v>
      </c>
      <c r="N917">
        <v>10</v>
      </c>
      <c r="O917">
        <v>3387200</v>
      </c>
      <c r="P917">
        <v>0.3</v>
      </c>
      <c r="Q917">
        <v>23710400</v>
      </c>
      <c r="R917">
        <v>24066718.52</v>
      </c>
      <c r="S917">
        <v>-356318.52</v>
      </c>
      <c r="T917" t="s">
        <v>40</v>
      </c>
      <c r="U917" t="str">
        <f t="shared" si="42"/>
        <v>2023-03</v>
      </c>
      <c r="V917">
        <f t="shared" si="43"/>
        <v>2</v>
      </c>
      <c r="W917" s="2">
        <f t="shared" si="44"/>
        <v>-1.5027942168837304E-2</v>
      </c>
    </row>
    <row r="918" spans="1:23">
      <c r="A918" t="s">
        <v>1663</v>
      </c>
      <c r="B918" s="1">
        <v>45605</v>
      </c>
      <c r="C918" s="1">
        <v>45612</v>
      </c>
      <c r="D918" t="s">
        <v>167</v>
      </c>
      <c r="E918" t="s">
        <v>1158</v>
      </c>
      <c r="F918" t="s">
        <v>23</v>
      </c>
      <c r="G918" t="s">
        <v>24</v>
      </c>
      <c r="H918" t="s">
        <v>25</v>
      </c>
      <c r="I918" t="s">
        <v>26</v>
      </c>
      <c r="J918" t="s">
        <v>27</v>
      </c>
      <c r="K918" t="s">
        <v>28</v>
      </c>
      <c r="L918" t="s">
        <v>71</v>
      </c>
      <c r="M918" t="s">
        <v>72</v>
      </c>
      <c r="N918">
        <v>1</v>
      </c>
      <c r="O918">
        <v>40800</v>
      </c>
      <c r="P918">
        <v>0.1</v>
      </c>
      <c r="Q918">
        <v>36720</v>
      </c>
      <c r="R918">
        <v>22546.63</v>
      </c>
      <c r="S918">
        <v>14173.37</v>
      </c>
      <c r="T918" t="s">
        <v>31</v>
      </c>
      <c r="U918" t="str">
        <f t="shared" si="42"/>
        <v>2024-11</v>
      </c>
      <c r="V918">
        <f t="shared" si="43"/>
        <v>7</v>
      </c>
      <c r="W918" s="2">
        <f t="shared" si="44"/>
        <v>0.38598502178649241</v>
      </c>
    </row>
    <row r="919" spans="1:23">
      <c r="A919" t="s">
        <v>1664</v>
      </c>
      <c r="B919" s="1">
        <v>45071</v>
      </c>
      <c r="C919" s="1">
        <v>45078</v>
      </c>
      <c r="D919" t="s">
        <v>161</v>
      </c>
      <c r="E919" t="s">
        <v>184</v>
      </c>
      <c r="F919" t="s">
        <v>23</v>
      </c>
      <c r="G919" t="s">
        <v>87</v>
      </c>
      <c r="H919" t="s">
        <v>88</v>
      </c>
      <c r="I919" t="s">
        <v>46</v>
      </c>
      <c r="J919" t="s">
        <v>36</v>
      </c>
      <c r="K919" t="s">
        <v>89</v>
      </c>
      <c r="L919" t="s">
        <v>151</v>
      </c>
      <c r="M919" t="s">
        <v>152</v>
      </c>
      <c r="N919">
        <v>2</v>
      </c>
      <c r="O919">
        <v>1352600</v>
      </c>
      <c r="P919">
        <v>0</v>
      </c>
      <c r="Q919">
        <v>2705200</v>
      </c>
      <c r="R919">
        <v>1913106.06</v>
      </c>
      <c r="S919">
        <v>792093.94</v>
      </c>
      <c r="T919" t="s">
        <v>31</v>
      </c>
      <c r="U919" t="str">
        <f t="shared" si="42"/>
        <v>2023-05</v>
      </c>
      <c r="V919">
        <f t="shared" si="43"/>
        <v>7</v>
      </c>
      <c r="W919" s="2">
        <f t="shared" si="44"/>
        <v>0.29280420671299717</v>
      </c>
    </row>
    <row r="920" spans="1:23">
      <c r="A920" t="s">
        <v>1665</v>
      </c>
      <c r="B920" s="1">
        <v>45974</v>
      </c>
      <c r="C920" s="1">
        <v>45980</v>
      </c>
      <c r="D920" t="s">
        <v>328</v>
      </c>
      <c r="E920" t="s">
        <v>668</v>
      </c>
      <c r="F920" t="s">
        <v>23</v>
      </c>
      <c r="G920" t="s">
        <v>44</v>
      </c>
      <c r="H920" t="s">
        <v>45</v>
      </c>
      <c r="I920" t="s">
        <v>46</v>
      </c>
      <c r="J920" t="s">
        <v>27</v>
      </c>
      <c r="K920" t="s">
        <v>116</v>
      </c>
      <c r="L920" t="s">
        <v>117</v>
      </c>
      <c r="M920" t="s">
        <v>118</v>
      </c>
      <c r="N920">
        <v>4</v>
      </c>
      <c r="O920">
        <v>27700</v>
      </c>
      <c r="P920">
        <v>0.15</v>
      </c>
      <c r="Q920">
        <v>94180</v>
      </c>
      <c r="R920">
        <v>56673.21</v>
      </c>
      <c r="S920">
        <v>37506.79</v>
      </c>
      <c r="T920" t="s">
        <v>60</v>
      </c>
      <c r="U920" t="str">
        <f t="shared" si="42"/>
        <v>2025-11</v>
      </c>
      <c r="V920">
        <f t="shared" si="43"/>
        <v>6</v>
      </c>
      <c r="W920" s="2">
        <f t="shared" si="44"/>
        <v>0.39824580590358888</v>
      </c>
    </row>
    <row r="921" spans="1:23">
      <c r="A921" t="s">
        <v>1666</v>
      </c>
      <c r="B921" s="1">
        <v>45622</v>
      </c>
      <c r="C921" s="1">
        <v>45624</v>
      </c>
      <c r="D921" t="s">
        <v>548</v>
      </c>
      <c r="E921" t="s">
        <v>950</v>
      </c>
      <c r="F921" t="s">
        <v>23</v>
      </c>
      <c r="G921" t="s">
        <v>24</v>
      </c>
      <c r="H921" t="s">
        <v>25</v>
      </c>
      <c r="I921" t="s">
        <v>26</v>
      </c>
      <c r="J921" t="s">
        <v>27</v>
      </c>
      <c r="K921" t="s">
        <v>116</v>
      </c>
      <c r="L921" t="s">
        <v>207</v>
      </c>
      <c r="M921" t="s">
        <v>208</v>
      </c>
      <c r="N921">
        <v>3</v>
      </c>
      <c r="O921">
        <v>105400</v>
      </c>
      <c r="P921">
        <v>0.2</v>
      </c>
      <c r="Q921">
        <v>252960</v>
      </c>
      <c r="R921">
        <v>182740.15</v>
      </c>
      <c r="S921">
        <v>70219.850000000006</v>
      </c>
      <c r="T921" t="s">
        <v>60</v>
      </c>
      <c r="U921" t="str">
        <f t="shared" si="42"/>
        <v>2024-11</v>
      </c>
      <c r="V921">
        <f t="shared" si="43"/>
        <v>2</v>
      </c>
      <c r="W921" s="2">
        <f t="shared" si="44"/>
        <v>0.27759270240354206</v>
      </c>
    </row>
    <row r="922" spans="1:23">
      <c r="A922" t="s">
        <v>1667</v>
      </c>
      <c r="B922" s="1">
        <v>45628</v>
      </c>
      <c r="C922" s="1">
        <v>45631</v>
      </c>
      <c r="D922" t="s">
        <v>784</v>
      </c>
      <c r="E922" t="s">
        <v>162</v>
      </c>
      <c r="F922" t="s">
        <v>35</v>
      </c>
      <c r="G922" t="s">
        <v>64</v>
      </c>
      <c r="H922" t="s">
        <v>65</v>
      </c>
      <c r="I922" t="s">
        <v>57</v>
      </c>
      <c r="J922" t="s">
        <v>27</v>
      </c>
      <c r="K922" t="s">
        <v>179</v>
      </c>
      <c r="L922" t="s">
        <v>180</v>
      </c>
      <c r="M922" t="s">
        <v>181</v>
      </c>
      <c r="N922">
        <v>3</v>
      </c>
      <c r="O922">
        <v>59800</v>
      </c>
      <c r="P922">
        <v>0</v>
      </c>
      <c r="Q922">
        <v>179400</v>
      </c>
      <c r="R922">
        <v>93893.09</v>
      </c>
      <c r="S922">
        <v>85506.91</v>
      </c>
      <c r="T922" t="s">
        <v>60</v>
      </c>
      <c r="U922" t="str">
        <f t="shared" si="42"/>
        <v>2024-12</v>
      </c>
      <c r="V922">
        <f t="shared" si="43"/>
        <v>3</v>
      </c>
      <c r="W922" s="2">
        <f t="shared" si="44"/>
        <v>0.47662714604236345</v>
      </c>
    </row>
    <row r="923" spans="1:23">
      <c r="A923" t="s">
        <v>1668</v>
      </c>
      <c r="B923" s="1">
        <v>45669</v>
      </c>
      <c r="C923" s="1">
        <v>45675</v>
      </c>
      <c r="D923" t="s">
        <v>186</v>
      </c>
      <c r="E923" t="s">
        <v>391</v>
      </c>
      <c r="F923" t="s">
        <v>35</v>
      </c>
      <c r="G923" t="s">
        <v>55</v>
      </c>
      <c r="H923" t="s">
        <v>56</v>
      </c>
      <c r="I923" t="s">
        <v>57</v>
      </c>
      <c r="J923" t="s">
        <v>47</v>
      </c>
      <c r="K923" t="s">
        <v>173</v>
      </c>
      <c r="L923" t="s">
        <v>203</v>
      </c>
      <c r="M923" t="s">
        <v>204</v>
      </c>
      <c r="N923">
        <v>4</v>
      </c>
      <c r="O923">
        <v>3354000</v>
      </c>
      <c r="P923">
        <v>0</v>
      </c>
      <c r="Q923">
        <v>13416000</v>
      </c>
      <c r="R923">
        <v>10753643.460000001</v>
      </c>
      <c r="S923">
        <v>2662356.54</v>
      </c>
      <c r="T923" t="s">
        <v>40</v>
      </c>
      <c r="U923" t="str">
        <f t="shared" si="42"/>
        <v>2025-01</v>
      </c>
      <c r="V923">
        <f t="shared" si="43"/>
        <v>6</v>
      </c>
      <c r="W923" s="2">
        <f t="shared" si="44"/>
        <v>0.19844637298747764</v>
      </c>
    </row>
    <row r="924" spans="1:23">
      <c r="A924" t="s">
        <v>1669</v>
      </c>
      <c r="B924" s="1">
        <v>45525</v>
      </c>
      <c r="C924" s="1">
        <v>45532</v>
      </c>
      <c r="D924" t="s">
        <v>218</v>
      </c>
      <c r="E924" t="s">
        <v>1595</v>
      </c>
      <c r="F924" t="s">
        <v>23</v>
      </c>
      <c r="G924" t="s">
        <v>24</v>
      </c>
      <c r="H924" t="s">
        <v>25</v>
      </c>
      <c r="I924" t="s">
        <v>26</v>
      </c>
      <c r="J924" t="s">
        <v>36</v>
      </c>
      <c r="K924" t="s">
        <v>37</v>
      </c>
      <c r="L924" t="s">
        <v>58</v>
      </c>
      <c r="M924" t="s">
        <v>59</v>
      </c>
      <c r="N924">
        <v>3</v>
      </c>
      <c r="O924">
        <v>811400</v>
      </c>
      <c r="P924">
        <v>0</v>
      </c>
      <c r="Q924">
        <v>2434200</v>
      </c>
      <c r="R924">
        <v>1578022.9</v>
      </c>
      <c r="S924">
        <v>856177.1</v>
      </c>
      <c r="T924" t="s">
        <v>73</v>
      </c>
      <c r="U924" t="str">
        <f t="shared" si="42"/>
        <v>2024-08</v>
      </c>
      <c r="V924">
        <f t="shared" si="43"/>
        <v>7</v>
      </c>
      <c r="W924" s="2">
        <f t="shared" si="44"/>
        <v>0.35172832963602002</v>
      </c>
    </row>
    <row r="925" spans="1:23">
      <c r="A925" t="s">
        <v>1670</v>
      </c>
      <c r="B925" s="1">
        <v>45275</v>
      </c>
      <c r="C925" s="1">
        <v>45278</v>
      </c>
      <c r="D925" t="s">
        <v>213</v>
      </c>
      <c r="E925" t="s">
        <v>778</v>
      </c>
      <c r="F925" t="s">
        <v>23</v>
      </c>
      <c r="G925" t="s">
        <v>87</v>
      </c>
      <c r="H925" t="s">
        <v>88</v>
      </c>
      <c r="I925" t="s">
        <v>46</v>
      </c>
      <c r="J925" t="s">
        <v>27</v>
      </c>
      <c r="K925" t="s">
        <v>179</v>
      </c>
      <c r="L925" t="s">
        <v>180</v>
      </c>
      <c r="M925" t="s">
        <v>181</v>
      </c>
      <c r="N925">
        <v>3</v>
      </c>
      <c r="O925">
        <v>61100</v>
      </c>
      <c r="P925">
        <v>0.05</v>
      </c>
      <c r="Q925">
        <v>174135</v>
      </c>
      <c r="R925">
        <v>98404.15</v>
      </c>
      <c r="S925">
        <v>75730.850000000006</v>
      </c>
      <c r="T925" t="s">
        <v>40</v>
      </c>
      <c r="U925" t="str">
        <f t="shared" si="42"/>
        <v>2023-12</v>
      </c>
      <c r="V925">
        <f t="shared" si="43"/>
        <v>3</v>
      </c>
      <c r="W925" s="2">
        <f t="shared" si="44"/>
        <v>0.43489734975737221</v>
      </c>
    </row>
    <row r="926" spans="1:23">
      <c r="A926" t="s">
        <v>1671</v>
      </c>
      <c r="B926" s="1">
        <v>45059</v>
      </c>
      <c r="C926" s="1">
        <v>45062</v>
      </c>
      <c r="D926" t="s">
        <v>1587</v>
      </c>
      <c r="E926" t="s">
        <v>554</v>
      </c>
      <c r="F926" t="s">
        <v>23</v>
      </c>
      <c r="G926" t="s">
        <v>24</v>
      </c>
      <c r="H926" t="s">
        <v>25</v>
      </c>
      <c r="I926" t="s">
        <v>26</v>
      </c>
      <c r="J926" t="s">
        <v>47</v>
      </c>
      <c r="K926" t="s">
        <v>173</v>
      </c>
      <c r="L926" t="s">
        <v>174</v>
      </c>
      <c r="M926" t="s">
        <v>175</v>
      </c>
      <c r="N926">
        <v>3</v>
      </c>
      <c r="O926">
        <v>4598600</v>
      </c>
      <c r="P926">
        <v>0.05</v>
      </c>
      <c r="Q926">
        <v>13106010</v>
      </c>
      <c r="R926">
        <v>11057174.970000001</v>
      </c>
      <c r="S926">
        <v>2048835.03</v>
      </c>
      <c r="T926" t="s">
        <v>31</v>
      </c>
      <c r="U926" t="str">
        <f t="shared" si="42"/>
        <v>2023-05</v>
      </c>
      <c r="V926">
        <f t="shared" si="43"/>
        <v>3</v>
      </c>
      <c r="W926" s="2">
        <f t="shared" si="44"/>
        <v>0.15632790071120042</v>
      </c>
    </row>
    <row r="927" spans="1:23">
      <c r="A927" t="s">
        <v>1672</v>
      </c>
      <c r="B927" s="1">
        <v>46000</v>
      </c>
      <c r="C927" s="1">
        <v>46002</v>
      </c>
      <c r="D927" t="s">
        <v>564</v>
      </c>
      <c r="E927" t="s">
        <v>1539</v>
      </c>
      <c r="F927" t="s">
        <v>23</v>
      </c>
      <c r="G927" t="s">
        <v>140</v>
      </c>
      <c r="H927" t="s">
        <v>141</v>
      </c>
      <c r="I927" t="s">
        <v>46</v>
      </c>
      <c r="J927" t="s">
        <v>27</v>
      </c>
      <c r="K927" t="s">
        <v>179</v>
      </c>
      <c r="L927" t="s">
        <v>180</v>
      </c>
      <c r="M927" t="s">
        <v>181</v>
      </c>
      <c r="N927">
        <v>8</v>
      </c>
      <c r="O927">
        <v>56700</v>
      </c>
      <c r="P927">
        <v>0</v>
      </c>
      <c r="Q927">
        <v>453600</v>
      </c>
      <c r="R927">
        <v>258442.28</v>
      </c>
      <c r="S927">
        <v>195157.72</v>
      </c>
      <c r="T927" t="s">
        <v>31</v>
      </c>
      <c r="U927" t="str">
        <f t="shared" si="42"/>
        <v>2025-12</v>
      </c>
      <c r="V927">
        <f t="shared" si="43"/>
        <v>2</v>
      </c>
      <c r="W927" s="2">
        <f t="shared" si="44"/>
        <v>0.43024188712522043</v>
      </c>
    </row>
    <row r="928" spans="1:23">
      <c r="A928" t="s">
        <v>1673</v>
      </c>
      <c r="B928" s="1">
        <v>45841</v>
      </c>
      <c r="C928" s="1">
        <v>45846</v>
      </c>
      <c r="D928" t="s">
        <v>1357</v>
      </c>
      <c r="E928" t="s">
        <v>1402</v>
      </c>
      <c r="F928" t="s">
        <v>35</v>
      </c>
      <c r="G928" t="s">
        <v>95</v>
      </c>
      <c r="H928" t="s">
        <v>96</v>
      </c>
      <c r="I928" t="s">
        <v>26</v>
      </c>
      <c r="J928" t="s">
        <v>36</v>
      </c>
      <c r="K928" t="s">
        <v>81</v>
      </c>
      <c r="L928" t="s">
        <v>82</v>
      </c>
      <c r="M928" t="s">
        <v>83</v>
      </c>
      <c r="N928">
        <v>3</v>
      </c>
      <c r="O928">
        <v>678100</v>
      </c>
      <c r="P928">
        <v>0</v>
      </c>
      <c r="Q928">
        <v>2034300</v>
      </c>
      <c r="R928">
        <v>1353578.13</v>
      </c>
      <c r="S928">
        <v>680721.87</v>
      </c>
      <c r="T928" t="s">
        <v>73</v>
      </c>
      <c r="U928" t="str">
        <f t="shared" si="42"/>
        <v>2025-07</v>
      </c>
      <c r="V928">
        <f t="shared" si="43"/>
        <v>5</v>
      </c>
      <c r="W928" s="2">
        <f t="shared" si="44"/>
        <v>0.33462216487243768</v>
      </c>
    </row>
    <row r="929" spans="1:23">
      <c r="A929" t="s">
        <v>1674</v>
      </c>
      <c r="B929" s="1">
        <v>45471</v>
      </c>
      <c r="C929" s="1">
        <v>45476</v>
      </c>
      <c r="D929" t="s">
        <v>970</v>
      </c>
      <c r="E929" t="s">
        <v>602</v>
      </c>
      <c r="F929" t="s">
        <v>54</v>
      </c>
      <c r="G929" t="s">
        <v>44</v>
      </c>
      <c r="H929" t="s">
        <v>45</v>
      </c>
      <c r="I929" t="s">
        <v>46</v>
      </c>
      <c r="J929" t="s">
        <v>47</v>
      </c>
      <c r="K929" t="s">
        <v>173</v>
      </c>
      <c r="L929" t="s">
        <v>174</v>
      </c>
      <c r="M929" t="s">
        <v>175</v>
      </c>
      <c r="N929">
        <v>2</v>
      </c>
      <c r="O929">
        <v>4292900</v>
      </c>
      <c r="P929">
        <v>0</v>
      </c>
      <c r="Q929">
        <v>8585800</v>
      </c>
      <c r="R929">
        <v>6607662.1200000001</v>
      </c>
      <c r="S929">
        <v>1978137.88</v>
      </c>
      <c r="T929" t="s">
        <v>73</v>
      </c>
      <c r="U929" t="str">
        <f t="shared" si="42"/>
        <v>2024-06</v>
      </c>
      <c r="V929">
        <f t="shared" si="43"/>
        <v>5</v>
      </c>
      <c r="W929" s="2">
        <f t="shared" si="44"/>
        <v>0.23039645461110203</v>
      </c>
    </row>
    <row r="930" spans="1:23">
      <c r="A930" t="s">
        <v>1675</v>
      </c>
      <c r="B930" s="1">
        <v>45031</v>
      </c>
      <c r="C930" s="1">
        <v>45034</v>
      </c>
      <c r="D930" t="s">
        <v>1209</v>
      </c>
      <c r="E930" t="s">
        <v>264</v>
      </c>
      <c r="F930" t="s">
        <v>23</v>
      </c>
      <c r="G930" t="s">
        <v>24</v>
      </c>
      <c r="H930" t="s">
        <v>25</v>
      </c>
      <c r="I930" t="s">
        <v>26</v>
      </c>
      <c r="J930" t="s">
        <v>27</v>
      </c>
      <c r="K930" t="s">
        <v>100</v>
      </c>
      <c r="L930" t="s">
        <v>105</v>
      </c>
      <c r="M930" t="s">
        <v>106</v>
      </c>
      <c r="N930">
        <v>1</v>
      </c>
      <c r="O930">
        <v>71700</v>
      </c>
      <c r="P930">
        <v>0.1</v>
      </c>
      <c r="Q930">
        <v>64530</v>
      </c>
      <c r="R930">
        <v>40669</v>
      </c>
      <c r="S930">
        <v>23861</v>
      </c>
      <c r="T930" t="s">
        <v>40</v>
      </c>
      <c r="U930" t="str">
        <f t="shared" si="42"/>
        <v>2023-04</v>
      </c>
      <c r="V930">
        <f t="shared" si="43"/>
        <v>3</v>
      </c>
      <c r="W930" s="2">
        <f t="shared" si="44"/>
        <v>0.36976600030993334</v>
      </c>
    </row>
    <row r="931" spans="1:23">
      <c r="A931" t="s">
        <v>1676</v>
      </c>
      <c r="B931" s="1">
        <v>44946</v>
      </c>
      <c r="C931" s="1">
        <v>44951</v>
      </c>
      <c r="D931" t="s">
        <v>275</v>
      </c>
      <c r="E931" t="s">
        <v>403</v>
      </c>
      <c r="F931" t="s">
        <v>35</v>
      </c>
      <c r="G931" t="s">
        <v>64</v>
      </c>
      <c r="H931" t="s">
        <v>65</v>
      </c>
      <c r="I931" t="s">
        <v>57</v>
      </c>
      <c r="J931" t="s">
        <v>36</v>
      </c>
      <c r="K931" t="s">
        <v>81</v>
      </c>
      <c r="L931" t="s">
        <v>215</v>
      </c>
      <c r="M931" t="s">
        <v>216</v>
      </c>
      <c r="N931">
        <v>3</v>
      </c>
      <c r="O931">
        <v>1819400</v>
      </c>
      <c r="P931">
        <v>0.15</v>
      </c>
      <c r="Q931">
        <v>4639470</v>
      </c>
      <c r="R931">
        <v>3886969.76</v>
      </c>
      <c r="S931">
        <v>752500.24</v>
      </c>
      <c r="T931" t="s">
        <v>73</v>
      </c>
      <c r="U931" t="str">
        <f t="shared" si="42"/>
        <v>2023-01</v>
      </c>
      <c r="V931">
        <f t="shared" si="43"/>
        <v>5</v>
      </c>
      <c r="W931" s="2">
        <f t="shared" si="44"/>
        <v>0.16219530248067129</v>
      </c>
    </row>
    <row r="932" spans="1:23">
      <c r="A932" t="s">
        <v>1677</v>
      </c>
      <c r="B932" s="1">
        <v>45481</v>
      </c>
      <c r="C932" s="1">
        <v>45485</v>
      </c>
      <c r="D932" t="s">
        <v>837</v>
      </c>
      <c r="E932" t="s">
        <v>1266</v>
      </c>
      <c r="F932" t="s">
        <v>23</v>
      </c>
      <c r="G932" t="s">
        <v>87</v>
      </c>
      <c r="H932" t="s">
        <v>88</v>
      </c>
      <c r="I932" t="s">
        <v>46</v>
      </c>
      <c r="J932" t="s">
        <v>27</v>
      </c>
      <c r="K932" t="s">
        <v>179</v>
      </c>
      <c r="L932" t="s">
        <v>180</v>
      </c>
      <c r="M932" t="s">
        <v>181</v>
      </c>
      <c r="N932">
        <v>8</v>
      </c>
      <c r="O932">
        <v>54100</v>
      </c>
      <c r="P932">
        <v>0.2</v>
      </c>
      <c r="Q932">
        <v>346240</v>
      </c>
      <c r="R932">
        <v>225340.62</v>
      </c>
      <c r="S932">
        <v>120899.38</v>
      </c>
      <c r="T932" t="s">
        <v>60</v>
      </c>
      <c r="U932" t="str">
        <f t="shared" si="42"/>
        <v>2024-07</v>
      </c>
      <c r="V932">
        <f t="shared" si="43"/>
        <v>4</v>
      </c>
      <c r="W932" s="2">
        <f t="shared" si="44"/>
        <v>0.34917796903881704</v>
      </c>
    </row>
    <row r="933" spans="1:23">
      <c r="A933" t="s">
        <v>1678</v>
      </c>
      <c r="B933" s="1">
        <v>45957</v>
      </c>
      <c r="C933" s="1">
        <v>45960</v>
      </c>
      <c r="D933" t="s">
        <v>1272</v>
      </c>
      <c r="E933" t="s">
        <v>193</v>
      </c>
      <c r="F933" t="s">
        <v>23</v>
      </c>
      <c r="G933" t="s">
        <v>80</v>
      </c>
      <c r="H933" t="s">
        <v>45</v>
      </c>
      <c r="I933" t="s">
        <v>46</v>
      </c>
      <c r="J933" t="s">
        <v>27</v>
      </c>
      <c r="K933" t="s">
        <v>100</v>
      </c>
      <c r="L933" t="s">
        <v>105</v>
      </c>
      <c r="M933" t="s">
        <v>106</v>
      </c>
      <c r="N933">
        <v>6</v>
      </c>
      <c r="O933">
        <v>76900</v>
      </c>
      <c r="P933">
        <v>0.05</v>
      </c>
      <c r="Q933">
        <v>438330</v>
      </c>
      <c r="R933">
        <v>260451.61</v>
      </c>
      <c r="S933">
        <v>177878.39</v>
      </c>
      <c r="T933" t="s">
        <v>60</v>
      </c>
      <c r="U933" t="str">
        <f t="shared" si="42"/>
        <v>2025-10</v>
      </c>
      <c r="V933">
        <f t="shared" si="43"/>
        <v>3</v>
      </c>
      <c r="W933" s="2">
        <f t="shared" si="44"/>
        <v>0.40580929893002993</v>
      </c>
    </row>
    <row r="934" spans="1:23">
      <c r="A934" t="s">
        <v>1679</v>
      </c>
      <c r="B934" s="1">
        <v>45120</v>
      </c>
      <c r="C934" s="1">
        <v>45127</v>
      </c>
      <c r="D934" t="s">
        <v>533</v>
      </c>
      <c r="E934" t="s">
        <v>512</v>
      </c>
      <c r="F934" t="s">
        <v>35</v>
      </c>
      <c r="G934" t="s">
        <v>87</v>
      </c>
      <c r="H934" t="s">
        <v>88</v>
      </c>
      <c r="I934" t="s">
        <v>46</v>
      </c>
      <c r="J934" t="s">
        <v>36</v>
      </c>
      <c r="K934" t="s">
        <v>37</v>
      </c>
      <c r="L934" t="s">
        <v>58</v>
      </c>
      <c r="M934" t="s">
        <v>59</v>
      </c>
      <c r="N934">
        <v>4</v>
      </c>
      <c r="O934">
        <v>929000</v>
      </c>
      <c r="P934">
        <v>0</v>
      </c>
      <c r="Q934">
        <v>3716000</v>
      </c>
      <c r="R934">
        <v>2452189.8199999998</v>
      </c>
      <c r="S934">
        <v>1263810.18</v>
      </c>
      <c r="T934" t="s">
        <v>73</v>
      </c>
      <c r="U934" t="str">
        <f t="shared" si="42"/>
        <v>2023-07</v>
      </c>
      <c r="V934">
        <f t="shared" si="43"/>
        <v>7</v>
      </c>
      <c r="W934" s="2">
        <f t="shared" si="44"/>
        <v>0.34009961786867599</v>
      </c>
    </row>
    <row r="935" spans="1:23">
      <c r="A935" t="s">
        <v>1680</v>
      </c>
      <c r="B935" s="1">
        <v>45893</v>
      </c>
      <c r="C935" s="1">
        <v>45894</v>
      </c>
      <c r="D935" t="s">
        <v>868</v>
      </c>
      <c r="E935" t="s">
        <v>625</v>
      </c>
      <c r="F935" t="s">
        <v>35</v>
      </c>
      <c r="G935" t="s">
        <v>55</v>
      </c>
      <c r="H935" t="s">
        <v>56</v>
      </c>
      <c r="I935" t="s">
        <v>57</v>
      </c>
      <c r="J935" t="s">
        <v>27</v>
      </c>
      <c r="K935" t="s">
        <v>28</v>
      </c>
      <c r="L935" t="s">
        <v>29</v>
      </c>
      <c r="M935" t="s">
        <v>30</v>
      </c>
      <c r="N935">
        <v>1</v>
      </c>
      <c r="O935">
        <v>72700</v>
      </c>
      <c r="P935">
        <v>0.15</v>
      </c>
      <c r="Q935">
        <v>61795</v>
      </c>
      <c r="R935">
        <v>41645.14</v>
      </c>
      <c r="S935">
        <v>20149.86</v>
      </c>
      <c r="T935" t="s">
        <v>60</v>
      </c>
      <c r="U935" t="str">
        <f t="shared" si="42"/>
        <v>2025-08</v>
      </c>
      <c r="V935">
        <f t="shared" si="43"/>
        <v>1</v>
      </c>
      <c r="W935" s="2">
        <f t="shared" si="44"/>
        <v>0.32607589610809939</v>
      </c>
    </row>
    <row r="936" spans="1:23">
      <c r="A936" t="s">
        <v>1681</v>
      </c>
      <c r="B936" s="1">
        <v>45897</v>
      </c>
      <c r="C936" s="1">
        <v>45903</v>
      </c>
      <c r="D936" t="s">
        <v>1170</v>
      </c>
      <c r="E936" t="s">
        <v>127</v>
      </c>
      <c r="F936" t="s">
        <v>23</v>
      </c>
      <c r="G936" t="s">
        <v>95</v>
      </c>
      <c r="H936" t="s">
        <v>96</v>
      </c>
      <c r="I936" t="s">
        <v>26</v>
      </c>
      <c r="J936" t="s">
        <v>36</v>
      </c>
      <c r="K936" t="s">
        <v>89</v>
      </c>
      <c r="L936" t="s">
        <v>90</v>
      </c>
      <c r="M936" t="s">
        <v>91</v>
      </c>
      <c r="N936">
        <v>2</v>
      </c>
      <c r="O936">
        <v>3428400</v>
      </c>
      <c r="P936">
        <v>0</v>
      </c>
      <c r="Q936">
        <v>6856800</v>
      </c>
      <c r="R936">
        <v>4650239.07</v>
      </c>
      <c r="S936">
        <v>2206560.9300000002</v>
      </c>
      <c r="T936" t="s">
        <v>60</v>
      </c>
      <c r="U936" t="str">
        <f t="shared" si="42"/>
        <v>2025-08</v>
      </c>
      <c r="V936">
        <f t="shared" si="43"/>
        <v>6</v>
      </c>
      <c r="W936" s="2">
        <f t="shared" si="44"/>
        <v>0.32180622593629682</v>
      </c>
    </row>
    <row r="937" spans="1:23">
      <c r="A937" t="s">
        <v>1682</v>
      </c>
      <c r="B937" s="1">
        <v>45572</v>
      </c>
      <c r="C937" s="1">
        <v>45576</v>
      </c>
      <c r="D937" t="s">
        <v>1357</v>
      </c>
      <c r="E937" t="s">
        <v>950</v>
      </c>
      <c r="F937" t="s">
        <v>23</v>
      </c>
      <c r="G937" t="s">
        <v>169</v>
      </c>
      <c r="H937" t="s">
        <v>157</v>
      </c>
      <c r="I937" t="s">
        <v>57</v>
      </c>
      <c r="J937" t="s">
        <v>47</v>
      </c>
      <c r="K937" t="s">
        <v>48</v>
      </c>
      <c r="L937" t="s">
        <v>225</v>
      </c>
      <c r="M937" t="s">
        <v>226</v>
      </c>
      <c r="N937">
        <v>1</v>
      </c>
      <c r="O937">
        <v>227700</v>
      </c>
      <c r="P937">
        <v>0.1</v>
      </c>
      <c r="Q937">
        <v>204930</v>
      </c>
      <c r="R937">
        <v>132274.25</v>
      </c>
      <c r="S937">
        <v>72655.75</v>
      </c>
      <c r="T937" t="s">
        <v>40</v>
      </c>
      <c r="U937" t="str">
        <f t="shared" si="42"/>
        <v>2024-10</v>
      </c>
      <c r="V937">
        <f t="shared" si="43"/>
        <v>4</v>
      </c>
      <c r="W937" s="2">
        <f t="shared" si="44"/>
        <v>0.35453935490167376</v>
      </c>
    </row>
    <row r="938" spans="1:23">
      <c r="A938" t="s">
        <v>1683</v>
      </c>
      <c r="B938" s="1">
        <v>44966</v>
      </c>
      <c r="C938" s="1">
        <v>44973</v>
      </c>
      <c r="D938" t="s">
        <v>1055</v>
      </c>
      <c r="E938" t="s">
        <v>711</v>
      </c>
      <c r="F938" t="s">
        <v>23</v>
      </c>
      <c r="G938" t="s">
        <v>95</v>
      </c>
      <c r="H938" t="s">
        <v>96</v>
      </c>
      <c r="I938" t="s">
        <v>26</v>
      </c>
      <c r="J938" t="s">
        <v>27</v>
      </c>
      <c r="K938" t="s">
        <v>28</v>
      </c>
      <c r="L938" t="s">
        <v>29</v>
      </c>
      <c r="M938" t="s">
        <v>30</v>
      </c>
      <c r="N938">
        <v>1</v>
      </c>
      <c r="O938">
        <v>67600</v>
      </c>
      <c r="P938">
        <v>0.05</v>
      </c>
      <c r="Q938">
        <v>64220</v>
      </c>
      <c r="R938">
        <v>37327.120000000003</v>
      </c>
      <c r="S938">
        <v>26892.880000000001</v>
      </c>
      <c r="T938" t="s">
        <v>60</v>
      </c>
      <c r="U938" t="str">
        <f t="shared" si="42"/>
        <v>2023-02</v>
      </c>
      <c r="V938">
        <f t="shared" si="43"/>
        <v>7</v>
      </c>
      <c r="W938" s="2">
        <f t="shared" si="44"/>
        <v>0.41876175646216135</v>
      </c>
    </row>
    <row r="939" spans="1:23">
      <c r="A939" t="s">
        <v>1684</v>
      </c>
      <c r="B939" s="1">
        <v>45957</v>
      </c>
      <c r="C939" s="1">
        <v>45961</v>
      </c>
      <c r="D939" t="s">
        <v>545</v>
      </c>
      <c r="E939" t="s">
        <v>1454</v>
      </c>
      <c r="F939" t="s">
        <v>23</v>
      </c>
      <c r="G939" t="s">
        <v>44</v>
      </c>
      <c r="H939" t="s">
        <v>45</v>
      </c>
      <c r="I939" t="s">
        <v>46</v>
      </c>
      <c r="J939" t="s">
        <v>27</v>
      </c>
      <c r="K939" t="s">
        <v>100</v>
      </c>
      <c r="L939" t="s">
        <v>105</v>
      </c>
      <c r="M939" t="s">
        <v>106</v>
      </c>
      <c r="N939">
        <v>4</v>
      </c>
      <c r="O939">
        <v>84100</v>
      </c>
      <c r="P939">
        <v>0.1</v>
      </c>
      <c r="Q939">
        <v>302760</v>
      </c>
      <c r="R939">
        <v>209504.61</v>
      </c>
      <c r="S939">
        <v>93255.39</v>
      </c>
      <c r="T939" t="s">
        <v>60</v>
      </c>
      <c r="U939" t="str">
        <f t="shared" si="42"/>
        <v>2025-10</v>
      </c>
      <c r="V939">
        <f t="shared" si="43"/>
        <v>4</v>
      </c>
      <c r="W939" s="2">
        <f t="shared" si="44"/>
        <v>0.30801753864447085</v>
      </c>
    </row>
    <row r="940" spans="1:23">
      <c r="A940" t="s">
        <v>1685</v>
      </c>
      <c r="B940" s="1">
        <v>45725</v>
      </c>
      <c r="C940" s="1">
        <v>45731</v>
      </c>
      <c r="D940" t="s">
        <v>272</v>
      </c>
      <c r="E940" t="s">
        <v>323</v>
      </c>
      <c r="F940" t="s">
        <v>23</v>
      </c>
      <c r="G940" t="s">
        <v>24</v>
      </c>
      <c r="H940" t="s">
        <v>25</v>
      </c>
      <c r="I940" t="s">
        <v>26</v>
      </c>
      <c r="J940" t="s">
        <v>27</v>
      </c>
      <c r="K940" t="s">
        <v>116</v>
      </c>
      <c r="L940" t="s">
        <v>207</v>
      </c>
      <c r="M940" t="s">
        <v>208</v>
      </c>
      <c r="N940">
        <v>1</v>
      </c>
      <c r="O940">
        <v>104900</v>
      </c>
      <c r="P940">
        <v>0.05</v>
      </c>
      <c r="Q940">
        <v>99655</v>
      </c>
      <c r="R940">
        <v>60984.46</v>
      </c>
      <c r="S940">
        <v>38670.54</v>
      </c>
      <c r="T940" t="s">
        <v>40</v>
      </c>
      <c r="U940" t="str">
        <f t="shared" si="42"/>
        <v>2025-03</v>
      </c>
      <c r="V940">
        <f t="shared" si="43"/>
        <v>6</v>
      </c>
      <c r="W940" s="2">
        <f t="shared" si="44"/>
        <v>0.38804415232552308</v>
      </c>
    </row>
    <row r="941" spans="1:23">
      <c r="A941" t="s">
        <v>1686</v>
      </c>
      <c r="B941" s="1">
        <v>45154</v>
      </c>
      <c r="C941" s="1">
        <v>45158</v>
      </c>
      <c r="D941" t="s">
        <v>863</v>
      </c>
      <c r="E941" t="s">
        <v>460</v>
      </c>
      <c r="F941" t="s">
        <v>54</v>
      </c>
      <c r="G941" t="s">
        <v>156</v>
      </c>
      <c r="H941" t="s">
        <v>157</v>
      </c>
      <c r="I941" t="s">
        <v>57</v>
      </c>
      <c r="J941" t="s">
        <v>47</v>
      </c>
      <c r="K941" t="s">
        <v>142</v>
      </c>
      <c r="L941" t="s">
        <v>143</v>
      </c>
      <c r="M941" t="s">
        <v>144</v>
      </c>
      <c r="N941">
        <v>5</v>
      </c>
      <c r="O941">
        <v>6662800</v>
      </c>
      <c r="P941">
        <v>0.1</v>
      </c>
      <c r="Q941">
        <v>29982600</v>
      </c>
      <c r="R941">
        <v>27307657.850000001</v>
      </c>
      <c r="S941">
        <v>2674942.15</v>
      </c>
      <c r="T941" t="s">
        <v>40</v>
      </c>
      <c r="U941" t="str">
        <f t="shared" si="42"/>
        <v>2023-08</v>
      </c>
      <c r="V941">
        <f t="shared" si="43"/>
        <v>4</v>
      </c>
      <c r="W941" s="2">
        <f t="shared" si="44"/>
        <v>8.9216483893991852E-2</v>
      </c>
    </row>
    <row r="942" spans="1:23">
      <c r="A942" t="s">
        <v>1687</v>
      </c>
      <c r="B942" s="1">
        <v>45598</v>
      </c>
      <c r="C942" s="1">
        <v>45603</v>
      </c>
      <c r="D942" t="s">
        <v>464</v>
      </c>
      <c r="E942" t="s">
        <v>1688</v>
      </c>
      <c r="F942" t="s">
        <v>35</v>
      </c>
      <c r="G942" t="s">
        <v>95</v>
      </c>
      <c r="H942" t="s">
        <v>96</v>
      </c>
      <c r="I942" t="s">
        <v>26</v>
      </c>
      <c r="J942" t="s">
        <v>36</v>
      </c>
      <c r="K942" t="s">
        <v>37</v>
      </c>
      <c r="L942" t="s">
        <v>58</v>
      </c>
      <c r="M942" t="s">
        <v>59</v>
      </c>
      <c r="N942">
        <v>3</v>
      </c>
      <c r="O942">
        <v>809900</v>
      </c>
      <c r="P942">
        <v>0.15</v>
      </c>
      <c r="Q942">
        <v>2065245</v>
      </c>
      <c r="R942">
        <v>1679108.06</v>
      </c>
      <c r="S942">
        <v>386136.94</v>
      </c>
      <c r="T942" t="s">
        <v>60</v>
      </c>
      <c r="U942" t="str">
        <f t="shared" si="42"/>
        <v>2024-11</v>
      </c>
      <c r="V942">
        <f t="shared" si="43"/>
        <v>5</v>
      </c>
      <c r="W942" s="2">
        <f t="shared" si="44"/>
        <v>0.18696907146609723</v>
      </c>
    </row>
    <row r="943" spans="1:23">
      <c r="A943" t="s">
        <v>1689</v>
      </c>
      <c r="B943" s="1">
        <v>45840</v>
      </c>
      <c r="C943" s="1">
        <v>45846</v>
      </c>
      <c r="D943" t="s">
        <v>523</v>
      </c>
      <c r="E943" t="s">
        <v>470</v>
      </c>
      <c r="F943" t="s">
        <v>23</v>
      </c>
      <c r="G943" t="s">
        <v>156</v>
      </c>
      <c r="H943" t="s">
        <v>157</v>
      </c>
      <c r="I943" t="s">
        <v>57</v>
      </c>
      <c r="J943" t="s">
        <v>27</v>
      </c>
      <c r="K943" t="s">
        <v>28</v>
      </c>
      <c r="L943" t="s">
        <v>71</v>
      </c>
      <c r="M943" t="s">
        <v>72</v>
      </c>
      <c r="N943">
        <v>2</v>
      </c>
      <c r="O943">
        <v>42500</v>
      </c>
      <c r="P943">
        <v>0.3</v>
      </c>
      <c r="Q943">
        <v>59500</v>
      </c>
      <c r="R943">
        <v>43478.36</v>
      </c>
      <c r="S943">
        <v>16021.64</v>
      </c>
      <c r="T943" t="s">
        <v>40</v>
      </c>
      <c r="U943" t="str">
        <f t="shared" si="42"/>
        <v>2025-07</v>
      </c>
      <c r="V943">
        <f t="shared" si="43"/>
        <v>6</v>
      </c>
      <c r="W943" s="2">
        <f t="shared" si="44"/>
        <v>0.26927126050420169</v>
      </c>
    </row>
    <row r="944" spans="1:23">
      <c r="A944" t="s">
        <v>1690</v>
      </c>
      <c r="B944" s="1">
        <v>45768</v>
      </c>
      <c r="C944" s="1">
        <v>45772</v>
      </c>
      <c r="D944" t="s">
        <v>69</v>
      </c>
      <c r="E944" t="s">
        <v>475</v>
      </c>
      <c r="F944" t="s">
        <v>54</v>
      </c>
      <c r="G944" t="s">
        <v>140</v>
      </c>
      <c r="H944" t="s">
        <v>141</v>
      </c>
      <c r="I944" t="s">
        <v>46</v>
      </c>
      <c r="J944" t="s">
        <v>36</v>
      </c>
      <c r="K944" t="s">
        <v>89</v>
      </c>
      <c r="L944" t="s">
        <v>90</v>
      </c>
      <c r="M944" t="s">
        <v>91</v>
      </c>
      <c r="N944">
        <v>6</v>
      </c>
      <c r="O944">
        <v>3190000</v>
      </c>
      <c r="P944">
        <v>0</v>
      </c>
      <c r="Q944">
        <v>19140000</v>
      </c>
      <c r="R944">
        <v>13489600.77</v>
      </c>
      <c r="S944">
        <v>5650399.2300000004</v>
      </c>
      <c r="T944" t="s">
        <v>31</v>
      </c>
      <c r="U944" t="str">
        <f t="shared" si="42"/>
        <v>2025-04</v>
      </c>
      <c r="V944">
        <f t="shared" si="43"/>
        <v>4</v>
      </c>
      <c r="W944" s="2">
        <f t="shared" si="44"/>
        <v>0.29521417084639501</v>
      </c>
    </row>
    <row r="945" spans="1:23">
      <c r="A945" t="s">
        <v>1691</v>
      </c>
      <c r="B945" s="1">
        <v>45596</v>
      </c>
      <c r="C945" s="1">
        <v>45603</v>
      </c>
      <c r="D945" t="s">
        <v>33</v>
      </c>
      <c r="E945" t="s">
        <v>1692</v>
      </c>
      <c r="F945" t="s">
        <v>23</v>
      </c>
      <c r="G945" t="s">
        <v>55</v>
      </c>
      <c r="H945" t="s">
        <v>56</v>
      </c>
      <c r="I945" t="s">
        <v>57</v>
      </c>
      <c r="J945" t="s">
        <v>36</v>
      </c>
      <c r="K945" t="s">
        <v>89</v>
      </c>
      <c r="L945" t="s">
        <v>151</v>
      </c>
      <c r="M945" t="s">
        <v>152</v>
      </c>
      <c r="N945">
        <v>4</v>
      </c>
      <c r="O945">
        <v>1280500</v>
      </c>
      <c r="P945">
        <v>0.3</v>
      </c>
      <c r="Q945">
        <v>3585400</v>
      </c>
      <c r="R945">
        <v>3608393.85</v>
      </c>
      <c r="S945">
        <v>-22993.85</v>
      </c>
      <c r="T945" t="s">
        <v>31</v>
      </c>
      <c r="U945" t="str">
        <f t="shared" si="42"/>
        <v>2024-10</v>
      </c>
      <c r="V945">
        <f t="shared" si="43"/>
        <v>7</v>
      </c>
      <c r="W945" s="2">
        <f t="shared" si="44"/>
        <v>-6.4131896022758964E-3</v>
      </c>
    </row>
    <row r="946" spans="1:23">
      <c r="A946" t="s">
        <v>1693</v>
      </c>
      <c r="B946" s="1">
        <v>45106</v>
      </c>
      <c r="C946" s="1">
        <v>45111</v>
      </c>
      <c r="D946" t="s">
        <v>745</v>
      </c>
      <c r="E946" t="s">
        <v>1694</v>
      </c>
      <c r="F946" t="s">
        <v>35</v>
      </c>
      <c r="G946" t="s">
        <v>44</v>
      </c>
      <c r="H946" t="s">
        <v>45</v>
      </c>
      <c r="I946" t="s">
        <v>46</v>
      </c>
      <c r="J946" t="s">
        <v>27</v>
      </c>
      <c r="K946" t="s">
        <v>28</v>
      </c>
      <c r="L946" t="s">
        <v>29</v>
      </c>
      <c r="M946" t="s">
        <v>30</v>
      </c>
      <c r="N946">
        <v>5</v>
      </c>
      <c r="O946">
        <v>68200</v>
      </c>
      <c r="P946">
        <v>0.2</v>
      </c>
      <c r="Q946">
        <v>272800</v>
      </c>
      <c r="R946">
        <v>198735.94</v>
      </c>
      <c r="S946">
        <v>74064.06</v>
      </c>
      <c r="T946" t="s">
        <v>40</v>
      </c>
      <c r="U946" t="str">
        <f t="shared" si="42"/>
        <v>2023-06</v>
      </c>
      <c r="V946">
        <f t="shared" si="43"/>
        <v>5</v>
      </c>
      <c r="W946" s="2">
        <f t="shared" si="44"/>
        <v>0.27149582111436948</v>
      </c>
    </row>
    <row r="947" spans="1:23">
      <c r="A947" t="s">
        <v>1695</v>
      </c>
      <c r="B947" s="1">
        <v>45076</v>
      </c>
      <c r="C947" s="1">
        <v>45078</v>
      </c>
      <c r="D947" t="s">
        <v>1251</v>
      </c>
      <c r="E947" t="s">
        <v>1590</v>
      </c>
      <c r="F947" t="s">
        <v>35</v>
      </c>
      <c r="G947" t="s">
        <v>64</v>
      </c>
      <c r="H947" t="s">
        <v>65</v>
      </c>
      <c r="I947" t="s">
        <v>57</v>
      </c>
      <c r="J947" t="s">
        <v>27</v>
      </c>
      <c r="K947" t="s">
        <v>179</v>
      </c>
      <c r="L947" t="s">
        <v>180</v>
      </c>
      <c r="M947" t="s">
        <v>181</v>
      </c>
      <c r="N947">
        <v>5</v>
      </c>
      <c r="O947">
        <v>55300</v>
      </c>
      <c r="P947">
        <v>0</v>
      </c>
      <c r="Q947">
        <v>276500</v>
      </c>
      <c r="R947">
        <v>151099.57</v>
      </c>
      <c r="S947">
        <v>125400.43</v>
      </c>
      <c r="T947" t="s">
        <v>40</v>
      </c>
      <c r="U947" t="str">
        <f t="shared" si="42"/>
        <v>2023-05</v>
      </c>
      <c r="V947">
        <f t="shared" si="43"/>
        <v>2</v>
      </c>
      <c r="W947" s="2">
        <f t="shared" si="44"/>
        <v>0.45352777576853526</v>
      </c>
    </row>
    <row r="948" spans="1:23">
      <c r="A948" t="s">
        <v>1696</v>
      </c>
      <c r="B948" s="1">
        <v>45388</v>
      </c>
      <c r="C948" s="1">
        <v>45391</v>
      </c>
      <c r="D948" t="s">
        <v>354</v>
      </c>
      <c r="E948" t="s">
        <v>1697</v>
      </c>
      <c r="F948" t="s">
        <v>35</v>
      </c>
      <c r="G948" t="s">
        <v>24</v>
      </c>
      <c r="H948" t="s">
        <v>25</v>
      </c>
      <c r="I948" t="s">
        <v>26</v>
      </c>
      <c r="J948" t="s">
        <v>36</v>
      </c>
      <c r="K948" t="s">
        <v>89</v>
      </c>
      <c r="L948" t="s">
        <v>151</v>
      </c>
      <c r="M948" t="s">
        <v>152</v>
      </c>
      <c r="N948">
        <v>2</v>
      </c>
      <c r="O948">
        <v>1304700</v>
      </c>
      <c r="P948">
        <v>0</v>
      </c>
      <c r="Q948">
        <v>2609400</v>
      </c>
      <c r="R948">
        <v>1847598.21</v>
      </c>
      <c r="S948">
        <v>761801.79</v>
      </c>
      <c r="T948" t="s">
        <v>60</v>
      </c>
      <c r="U948" t="str">
        <f t="shared" si="42"/>
        <v>2024-04</v>
      </c>
      <c r="V948">
        <f t="shared" si="43"/>
        <v>3</v>
      </c>
      <c r="W948" s="2">
        <f t="shared" si="44"/>
        <v>0.29194519429753968</v>
      </c>
    </row>
    <row r="949" spans="1:23">
      <c r="A949" t="s">
        <v>1698</v>
      </c>
      <c r="B949" s="1">
        <v>45239</v>
      </c>
      <c r="C949" s="1">
        <v>45241</v>
      </c>
      <c r="D949" t="s">
        <v>377</v>
      </c>
      <c r="E949" t="s">
        <v>556</v>
      </c>
      <c r="F949" t="s">
        <v>23</v>
      </c>
      <c r="G949" t="s">
        <v>95</v>
      </c>
      <c r="H949" t="s">
        <v>96</v>
      </c>
      <c r="I949" t="s">
        <v>26</v>
      </c>
      <c r="J949" t="s">
        <v>27</v>
      </c>
      <c r="K949" t="s">
        <v>28</v>
      </c>
      <c r="L949" t="s">
        <v>29</v>
      </c>
      <c r="M949" t="s">
        <v>30</v>
      </c>
      <c r="N949">
        <v>2</v>
      </c>
      <c r="O949">
        <v>75300</v>
      </c>
      <c r="P949">
        <v>0</v>
      </c>
      <c r="Q949">
        <v>150600</v>
      </c>
      <c r="R949">
        <v>78603.88</v>
      </c>
      <c r="S949">
        <v>71996.12</v>
      </c>
      <c r="T949" t="s">
        <v>31</v>
      </c>
      <c r="U949" t="str">
        <f t="shared" si="42"/>
        <v>2023-11</v>
      </c>
      <c r="V949">
        <f t="shared" si="43"/>
        <v>2</v>
      </c>
      <c r="W949" s="2">
        <f t="shared" si="44"/>
        <v>0.47806188579017261</v>
      </c>
    </row>
    <row r="950" spans="1:23">
      <c r="A950" t="s">
        <v>1699</v>
      </c>
      <c r="B950" s="1">
        <v>45572</v>
      </c>
      <c r="C950" s="1">
        <v>45574</v>
      </c>
      <c r="D950" t="s">
        <v>1188</v>
      </c>
      <c r="E950" t="s">
        <v>1700</v>
      </c>
      <c r="F950" t="s">
        <v>23</v>
      </c>
      <c r="G950" t="s">
        <v>95</v>
      </c>
      <c r="H950" t="s">
        <v>96</v>
      </c>
      <c r="I950" t="s">
        <v>26</v>
      </c>
      <c r="J950" t="s">
        <v>27</v>
      </c>
      <c r="K950" t="s">
        <v>28</v>
      </c>
      <c r="L950" t="s">
        <v>29</v>
      </c>
      <c r="M950" t="s">
        <v>30</v>
      </c>
      <c r="N950">
        <v>1</v>
      </c>
      <c r="O950">
        <v>75000</v>
      </c>
      <c r="P950">
        <v>0.15</v>
      </c>
      <c r="Q950">
        <v>63750</v>
      </c>
      <c r="R950">
        <v>38618.720000000001</v>
      </c>
      <c r="S950">
        <v>25131.279999999999</v>
      </c>
      <c r="T950" t="s">
        <v>60</v>
      </c>
      <c r="U950" t="str">
        <f t="shared" si="42"/>
        <v>2024-10</v>
      </c>
      <c r="V950">
        <f t="shared" si="43"/>
        <v>2</v>
      </c>
      <c r="W950" s="2">
        <f t="shared" si="44"/>
        <v>0.39421615686274508</v>
      </c>
    </row>
    <row r="951" spans="1:23">
      <c r="A951" t="s">
        <v>1701</v>
      </c>
      <c r="B951" s="1">
        <v>45695</v>
      </c>
      <c r="C951" s="1">
        <v>45696</v>
      </c>
      <c r="D951" t="s">
        <v>788</v>
      </c>
      <c r="E951" t="s">
        <v>1702</v>
      </c>
      <c r="F951" t="s">
        <v>23</v>
      </c>
      <c r="G951" t="s">
        <v>24</v>
      </c>
      <c r="H951" t="s">
        <v>25</v>
      </c>
      <c r="I951" t="s">
        <v>26</v>
      </c>
      <c r="J951" t="s">
        <v>36</v>
      </c>
      <c r="K951" t="s">
        <v>37</v>
      </c>
      <c r="L951" t="s">
        <v>58</v>
      </c>
      <c r="M951" t="s">
        <v>59</v>
      </c>
      <c r="N951">
        <v>2</v>
      </c>
      <c r="O951">
        <v>821000</v>
      </c>
      <c r="P951">
        <v>0.15</v>
      </c>
      <c r="Q951">
        <v>1395700</v>
      </c>
      <c r="R951">
        <v>1095827.05</v>
      </c>
      <c r="S951">
        <v>299872.95</v>
      </c>
      <c r="T951" t="s">
        <v>40</v>
      </c>
      <c r="U951" t="str">
        <f t="shared" si="42"/>
        <v>2025-02</v>
      </c>
      <c r="V951">
        <f t="shared" si="43"/>
        <v>1</v>
      </c>
      <c r="W951" s="2">
        <f t="shared" si="44"/>
        <v>0.21485487568961811</v>
      </c>
    </row>
    <row r="952" spans="1:23">
      <c r="A952" t="s">
        <v>1703</v>
      </c>
      <c r="B952" s="1">
        <v>45964</v>
      </c>
      <c r="C952" s="1">
        <v>45969</v>
      </c>
      <c r="D952" t="s">
        <v>516</v>
      </c>
      <c r="E952" t="s">
        <v>795</v>
      </c>
      <c r="F952" t="s">
        <v>35</v>
      </c>
      <c r="G952" t="s">
        <v>80</v>
      </c>
      <c r="H952" t="s">
        <v>45</v>
      </c>
      <c r="I952" t="s">
        <v>46</v>
      </c>
      <c r="J952" t="s">
        <v>27</v>
      </c>
      <c r="K952" t="s">
        <v>100</v>
      </c>
      <c r="L952" t="s">
        <v>105</v>
      </c>
      <c r="M952" t="s">
        <v>106</v>
      </c>
      <c r="N952">
        <v>8</v>
      </c>
      <c r="O952">
        <v>80800</v>
      </c>
      <c r="P952">
        <v>0.05</v>
      </c>
      <c r="Q952">
        <v>614080</v>
      </c>
      <c r="R952">
        <v>404678.69</v>
      </c>
      <c r="S952">
        <v>209401.31</v>
      </c>
      <c r="T952" t="s">
        <v>31</v>
      </c>
      <c r="U952" t="str">
        <f t="shared" si="42"/>
        <v>2025-11</v>
      </c>
      <c r="V952">
        <f t="shared" si="43"/>
        <v>5</v>
      </c>
      <c r="W952" s="2">
        <f t="shared" si="44"/>
        <v>0.34100004885356955</v>
      </c>
    </row>
    <row r="953" spans="1:23">
      <c r="A953" t="s">
        <v>1704</v>
      </c>
      <c r="B953" s="1">
        <v>45112</v>
      </c>
      <c r="C953" s="1">
        <v>45119</v>
      </c>
      <c r="D953" t="s">
        <v>302</v>
      </c>
      <c r="E953" t="s">
        <v>1705</v>
      </c>
      <c r="F953" t="s">
        <v>23</v>
      </c>
      <c r="G953" t="s">
        <v>95</v>
      </c>
      <c r="H953" t="s">
        <v>96</v>
      </c>
      <c r="I953" t="s">
        <v>26</v>
      </c>
      <c r="J953" t="s">
        <v>36</v>
      </c>
      <c r="K953" t="s">
        <v>89</v>
      </c>
      <c r="L953" t="s">
        <v>90</v>
      </c>
      <c r="M953" t="s">
        <v>91</v>
      </c>
      <c r="N953">
        <v>1</v>
      </c>
      <c r="O953">
        <v>3098400</v>
      </c>
      <c r="P953">
        <v>0.05</v>
      </c>
      <c r="Q953">
        <v>2943480</v>
      </c>
      <c r="R953">
        <v>2331554.54</v>
      </c>
      <c r="S953">
        <v>611925.46</v>
      </c>
      <c r="T953" t="s">
        <v>40</v>
      </c>
      <c r="U953" t="str">
        <f t="shared" si="42"/>
        <v>2023-07</v>
      </c>
      <c r="V953">
        <f t="shared" si="43"/>
        <v>7</v>
      </c>
      <c r="W953" s="2">
        <f t="shared" si="44"/>
        <v>0.20789183551442508</v>
      </c>
    </row>
    <row r="954" spans="1:23">
      <c r="A954" t="s">
        <v>1706</v>
      </c>
      <c r="B954" s="1">
        <v>45561</v>
      </c>
      <c r="C954" s="1">
        <v>45568</v>
      </c>
      <c r="D954" t="s">
        <v>837</v>
      </c>
      <c r="E954" t="s">
        <v>801</v>
      </c>
      <c r="F954" t="s">
        <v>54</v>
      </c>
      <c r="G954" t="s">
        <v>24</v>
      </c>
      <c r="H954" t="s">
        <v>25</v>
      </c>
      <c r="I954" t="s">
        <v>26</v>
      </c>
      <c r="J954" t="s">
        <v>47</v>
      </c>
      <c r="K954" t="s">
        <v>48</v>
      </c>
      <c r="L954" t="s">
        <v>66</v>
      </c>
      <c r="M954" t="s">
        <v>67</v>
      </c>
      <c r="N954">
        <v>3</v>
      </c>
      <c r="O954">
        <v>134800</v>
      </c>
      <c r="P954">
        <v>0.2</v>
      </c>
      <c r="Q954">
        <v>323520</v>
      </c>
      <c r="R954">
        <v>223307.7</v>
      </c>
      <c r="S954">
        <v>100212.3</v>
      </c>
      <c r="T954" t="s">
        <v>31</v>
      </c>
      <c r="U954" t="str">
        <f t="shared" si="42"/>
        <v>2024-09</v>
      </c>
      <c r="V954">
        <f t="shared" si="43"/>
        <v>7</v>
      </c>
      <c r="W954" s="2">
        <f t="shared" si="44"/>
        <v>0.30975612017804155</v>
      </c>
    </row>
    <row r="955" spans="1:23">
      <c r="A955" t="s">
        <v>1707</v>
      </c>
      <c r="B955" s="1">
        <v>45589</v>
      </c>
      <c r="C955" s="1">
        <v>45590</v>
      </c>
      <c r="D955" t="s">
        <v>843</v>
      </c>
      <c r="E955" t="s">
        <v>1130</v>
      </c>
      <c r="F955" t="s">
        <v>35</v>
      </c>
      <c r="G955" t="s">
        <v>80</v>
      </c>
      <c r="H955" t="s">
        <v>45</v>
      </c>
      <c r="I955" t="s">
        <v>46</v>
      </c>
      <c r="J955" t="s">
        <v>47</v>
      </c>
      <c r="K955" t="s">
        <v>173</v>
      </c>
      <c r="L955" t="s">
        <v>174</v>
      </c>
      <c r="M955" t="s">
        <v>175</v>
      </c>
      <c r="N955">
        <v>2</v>
      </c>
      <c r="O955">
        <v>4375000</v>
      </c>
      <c r="P955">
        <v>0.05</v>
      </c>
      <c r="Q955">
        <v>8312500</v>
      </c>
      <c r="R955">
        <v>6267639.04</v>
      </c>
      <c r="S955">
        <v>2044860.96</v>
      </c>
      <c r="T955" t="s">
        <v>73</v>
      </c>
      <c r="U955" t="str">
        <f t="shared" si="42"/>
        <v>2024-10</v>
      </c>
      <c r="V955">
        <f t="shared" si="43"/>
        <v>1</v>
      </c>
      <c r="W955" s="2">
        <f t="shared" si="44"/>
        <v>0.2459983109774436</v>
      </c>
    </row>
    <row r="956" spans="1:23">
      <c r="A956" t="s">
        <v>1708</v>
      </c>
      <c r="B956" s="1">
        <v>45527</v>
      </c>
      <c r="C956" s="1">
        <v>45530</v>
      </c>
      <c r="D956" t="s">
        <v>1233</v>
      </c>
      <c r="E956" t="s">
        <v>411</v>
      </c>
      <c r="F956" t="s">
        <v>23</v>
      </c>
      <c r="G956" t="s">
        <v>169</v>
      </c>
      <c r="H956" t="s">
        <v>157</v>
      </c>
      <c r="I956" t="s">
        <v>57</v>
      </c>
      <c r="J956" t="s">
        <v>36</v>
      </c>
      <c r="K956" t="s">
        <v>81</v>
      </c>
      <c r="L956" t="s">
        <v>82</v>
      </c>
      <c r="M956" t="s">
        <v>83</v>
      </c>
      <c r="N956">
        <v>4</v>
      </c>
      <c r="O956">
        <v>700900</v>
      </c>
      <c r="P956">
        <v>0</v>
      </c>
      <c r="Q956">
        <v>2803600</v>
      </c>
      <c r="R956">
        <v>1909641.98</v>
      </c>
      <c r="S956">
        <v>893958.02</v>
      </c>
      <c r="T956" t="s">
        <v>73</v>
      </c>
      <c r="U956" t="str">
        <f t="shared" si="42"/>
        <v>2024-08</v>
      </c>
      <c r="V956">
        <f t="shared" si="43"/>
        <v>3</v>
      </c>
      <c r="W956" s="2">
        <f t="shared" si="44"/>
        <v>0.31886075759737481</v>
      </c>
    </row>
    <row r="957" spans="1:23">
      <c r="A957" t="s">
        <v>1709</v>
      </c>
      <c r="B957" s="1">
        <v>44988</v>
      </c>
      <c r="C957" s="1">
        <v>44992</v>
      </c>
      <c r="D957" t="s">
        <v>167</v>
      </c>
      <c r="E957" t="s">
        <v>1710</v>
      </c>
      <c r="F957" t="s">
        <v>54</v>
      </c>
      <c r="G957" t="s">
        <v>156</v>
      </c>
      <c r="H957" t="s">
        <v>157</v>
      </c>
      <c r="I957" t="s">
        <v>57</v>
      </c>
      <c r="J957" t="s">
        <v>47</v>
      </c>
      <c r="K957" t="s">
        <v>48</v>
      </c>
      <c r="L957" t="s">
        <v>225</v>
      </c>
      <c r="M957" t="s">
        <v>226</v>
      </c>
      <c r="N957">
        <v>3</v>
      </c>
      <c r="O957">
        <v>208400</v>
      </c>
      <c r="P957">
        <v>0</v>
      </c>
      <c r="Q957">
        <v>625200</v>
      </c>
      <c r="R957">
        <v>357753.67</v>
      </c>
      <c r="S957">
        <v>267446.33</v>
      </c>
      <c r="T957" t="s">
        <v>60</v>
      </c>
      <c r="U957" t="str">
        <f t="shared" si="42"/>
        <v>2023-03</v>
      </c>
      <c r="V957">
        <f t="shared" si="43"/>
        <v>4</v>
      </c>
      <c r="W957" s="2">
        <f t="shared" si="44"/>
        <v>0.42777723928342931</v>
      </c>
    </row>
    <row r="958" spans="1:23">
      <c r="A958" t="s">
        <v>1711</v>
      </c>
      <c r="B958" s="1">
        <v>45222</v>
      </c>
      <c r="C958" s="1">
        <v>45226</v>
      </c>
      <c r="D958" t="s">
        <v>447</v>
      </c>
      <c r="E958" t="s">
        <v>273</v>
      </c>
      <c r="F958" t="s">
        <v>35</v>
      </c>
      <c r="G958" t="s">
        <v>55</v>
      </c>
      <c r="H958" t="s">
        <v>56</v>
      </c>
      <c r="I958" t="s">
        <v>57</v>
      </c>
      <c r="J958" t="s">
        <v>47</v>
      </c>
      <c r="K958" t="s">
        <v>48</v>
      </c>
      <c r="L958" t="s">
        <v>225</v>
      </c>
      <c r="M958" t="s">
        <v>226</v>
      </c>
      <c r="N958">
        <v>1</v>
      </c>
      <c r="O958">
        <v>207800</v>
      </c>
      <c r="P958">
        <v>0.2</v>
      </c>
      <c r="Q958">
        <v>166240</v>
      </c>
      <c r="R958">
        <v>119939.18</v>
      </c>
      <c r="S958">
        <v>46300.82</v>
      </c>
      <c r="T958" t="s">
        <v>73</v>
      </c>
      <c r="U958" t="str">
        <f t="shared" si="42"/>
        <v>2023-10</v>
      </c>
      <c r="V958">
        <f t="shared" si="43"/>
        <v>4</v>
      </c>
      <c r="W958" s="2">
        <f t="shared" si="44"/>
        <v>0.27851792589027913</v>
      </c>
    </row>
    <row r="959" spans="1:23">
      <c r="A959" t="s">
        <v>1712</v>
      </c>
      <c r="B959" s="1">
        <v>45878</v>
      </c>
      <c r="C959" s="1">
        <v>45882</v>
      </c>
      <c r="D959" t="s">
        <v>328</v>
      </c>
      <c r="E959" t="s">
        <v>63</v>
      </c>
      <c r="F959" t="s">
        <v>54</v>
      </c>
      <c r="G959" t="s">
        <v>80</v>
      </c>
      <c r="H959" t="s">
        <v>45</v>
      </c>
      <c r="I959" t="s">
        <v>46</v>
      </c>
      <c r="J959" t="s">
        <v>27</v>
      </c>
      <c r="K959" t="s">
        <v>116</v>
      </c>
      <c r="L959" t="s">
        <v>207</v>
      </c>
      <c r="M959" t="s">
        <v>208</v>
      </c>
      <c r="N959">
        <v>2</v>
      </c>
      <c r="O959">
        <v>115400</v>
      </c>
      <c r="P959">
        <v>0.2</v>
      </c>
      <c r="Q959">
        <v>184640</v>
      </c>
      <c r="R959">
        <v>127170.69</v>
      </c>
      <c r="S959">
        <v>57469.31</v>
      </c>
      <c r="T959" t="s">
        <v>31</v>
      </c>
      <c r="U959" t="str">
        <f t="shared" si="42"/>
        <v>2025-08</v>
      </c>
      <c r="V959">
        <f t="shared" si="43"/>
        <v>4</v>
      </c>
      <c r="W959" s="2">
        <f t="shared" si="44"/>
        <v>0.31125059575389946</v>
      </c>
    </row>
    <row r="960" spans="1:23">
      <c r="A960" t="s">
        <v>1713</v>
      </c>
      <c r="B960" s="1">
        <v>45124</v>
      </c>
      <c r="C960" s="1">
        <v>45128</v>
      </c>
      <c r="D960" t="s">
        <v>132</v>
      </c>
      <c r="E960" t="s">
        <v>1714</v>
      </c>
      <c r="F960" t="s">
        <v>23</v>
      </c>
      <c r="G960" t="s">
        <v>24</v>
      </c>
      <c r="H960" t="s">
        <v>25</v>
      </c>
      <c r="I960" t="s">
        <v>26</v>
      </c>
      <c r="J960" t="s">
        <v>36</v>
      </c>
      <c r="K960" t="s">
        <v>37</v>
      </c>
      <c r="L960" t="s">
        <v>38</v>
      </c>
      <c r="M960" t="s">
        <v>39</v>
      </c>
      <c r="N960">
        <v>4</v>
      </c>
      <c r="O960">
        <v>912700</v>
      </c>
      <c r="P960">
        <v>0.1</v>
      </c>
      <c r="Q960">
        <v>3285720</v>
      </c>
      <c r="R960">
        <v>2598265.5099999998</v>
      </c>
      <c r="S960">
        <v>687454.49</v>
      </c>
      <c r="T960" t="s">
        <v>73</v>
      </c>
      <c r="U960" t="str">
        <f t="shared" si="42"/>
        <v>2023-07</v>
      </c>
      <c r="V960">
        <f t="shared" si="43"/>
        <v>4</v>
      </c>
      <c r="W960" s="2">
        <f t="shared" si="44"/>
        <v>0.20922491569579879</v>
      </c>
    </row>
    <row r="961" spans="1:23">
      <c r="A961" t="s">
        <v>1715</v>
      </c>
      <c r="B961" s="1">
        <v>45142</v>
      </c>
      <c r="C961" s="1">
        <v>45144</v>
      </c>
      <c r="D961" t="s">
        <v>756</v>
      </c>
      <c r="E961" t="s">
        <v>682</v>
      </c>
      <c r="F961" t="s">
        <v>23</v>
      </c>
      <c r="G961" t="s">
        <v>95</v>
      </c>
      <c r="H961" t="s">
        <v>96</v>
      </c>
      <c r="I961" t="s">
        <v>26</v>
      </c>
      <c r="J961" t="s">
        <v>47</v>
      </c>
      <c r="K961" t="s">
        <v>173</v>
      </c>
      <c r="L961" t="s">
        <v>203</v>
      </c>
      <c r="M961" t="s">
        <v>204</v>
      </c>
      <c r="N961">
        <v>3</v>
      </c>
      <c r="O961">
        <v>3246000</v>
      </c>
      <c r="P961">
        <v>0.1</v>
      </c>
      <c r="Q961">
        <v>8764200</v>
      </c>
      <c r="R961">
        <v>7880943.7699999996</v>
      </c>
      <c r="S961">
        <v>883256.23</v>
      </c>
      <c r="T961" t="s">
        <v>40</v>
      </c>
      <c r="U961" t="str">
        <f t="shared" si="42"/>
        <v>2023-08</v>
      </c>
      <c r="V961">
        <f t="shared" si="43"/>
        <v>2</v>
      </c>
      <c r="W961" s="2">
        <f t="shared" si="44"/>
        <v>0.10078001757148398</v>
      </c>
    </row>
    <row r="962" spans="1:23">
      <c r="A962" t="s">
        <v>1716</v>
      </c>
      <c r="B962" s="1">
        <v>45694</v>
      </c>
      <c r="C962" s="1">
        <v>45700</v>
      </c>
      <c r="D962" t="s">
        <v>1717</v>
      </c>
      <c r="E962" t="s">
        <v>124</v>
      </c>
      <c r="F962" t="s">
        <v>35</v>
      </c>
      <c r="G962" t="s">
        <v>169</v>
      </c>
      <c r="H962" t="s">
        <v>157</v>
      </c>
      <c r="I962" t="s">
        <v>57</v>
      </c>
      <c r="J962" t="s">
        <v>47</v>
      </c>
      <c r="K962" t="s">
        <v>142</v>
      </c>
      <c r="L962" t="s">
        <v>158</v>
      </c>
      <c r="M962" t="s">
        <v>159</v>
      </c>
      <c r="N962">
        <v>10</v>
      </c>
      <c r="O962">
        <v>7405800</v>
      </c>
      <c r="P962">
        <v>0.1</v>
      </c>
      <c r="Q962">
        <v>66652200</v>
      </c>
      <c r="R962">
        <v>61150241.590000004</v>
      </c>
      <c r="S962">
        <v>5501958.4100000001</v>
      </c>
      <c r="T962" t="s">
        <v>73</v>
      </c>
      <c r="U962" t="str">
        <f t="shared" si="42"/>
        <v>2025-02</v>
      </c>
      <c r="V962">
        <f t="shared" si="43"/>
        <v>6</v>
      </c>
      <c r="W962" s="2">
        <f t="shared" si="44"/>
        <v>8.2547288911693842E-2</v>
      </c>
    </row>
    <row r="963" spans="1:23">
      <c r="A963" t="s">
        <v>1718</v>
      </c>
      <c r="B963" s="1">
        <v>45587</v>
      </c>
      <c r="C963" s="1">
        <v>45588</v>
      </c>
      <c r="D963" t="s">
        <v>441</v>
      </c>
      <c r="E963" t="s">
        <v>1719</v>
      </c>
      <c r="F963" t="s">
        <v>23</v>
      </c>
      <c r="G963" t="s">
        <v>156</v>
      </c>
      <c r="H963" t="s">
        <v>157</v>
      </c>
      <c r="I963" t="s">
        <v>57</v>
      </c>
      <c r="J963" t="s">
        <v>36</v>
      </c>
      <c r="K963" t="s">
        <v>89</v>
      </c>
      <c r="L963" t="s">
        <v>90</v>
      </c>
      <c r="M963" t="s">
        <v>91</v>
      </c>
      <c r="N963">
        <v>2</v>
      </c>
      <c r="O963">
        <v>2983900</v>
      </c>
      <c r="P963">
        <v>0.1</v>
      </c>
      <c r="Q963">
        <v>5371020</v>
      </c>
      <c r="R963">
        <v>4265037.63</v>
      </c>
      <c r="S963">
        <v>1105982.3700000001</v>
      </c>
      <c r="T963" t="s">
        <v>40</v>
      </c>
      <c r="U963" t="str">
        <f t="shared" ref="U963:U1001" si="45">TEXT(B963,"yyyy-mm")</f>
        <v>2024-10</v>
      </c>
      <c r="V963">
        <f t="shared" ref="V963:V1001" si="46">C963-B963</f>
        <v>1</v>
      </c>
      <c r="W963" s="2">
        <f t="shared" ref="W963:W1001" si="47">IF(Q963=0,0,S963/Q963)</f>
        <v>0.20591663594624487</v>
      </c>
    </row>
    <row r="964" spans="1:23">
      <c r="A964" t="s">
        <v>1720</v>
      </c>
      <c r="B964" s="1">
        <v>45980</v>
      </c>
      <c r="C964" s="1">
        <v>45983</v>
      </c>
      <c r="D964" t="s">
        <v>75</v>
      </c>
      <c r="E964" t="s">
        <v>329</v>
      </c>
      <c r="F964" t="s">
        <v>23</v>
      </c>
      <c r="G964" t="s">
        <v>95</v>
      </c>
      <c r="H964" t="s">
        <v>96</v>
      </c>
      <c r="I964" t="s">
        <v>26</v>
      </c>
      <c r="J964" t="s">
        <v>47</v>
      </c>
      <c r="K964" t="s">
        <v>173</v>
      </c>
      <c r="L964" t="s">
        <v>203</v>
      </c>
      <c r="M964" t="s">
        <v>204</v>
      </c>
      <c r="N964">
        <v>4</v>
      </c>
      <c r="O964">
        <v>3201200</v>
      </c>
      <c r="P964">
        <v>0</v>
      </c>
      <c r="Q964">
        <v>12804800</v>
      </c>
      <c r="R964">
        <v>10328274.609999999</v>
      </c>
      <c r="S964">
        <v>2476525.39</v>
      </c>
      <c r="T964" t="s">
        <v>40</v>
      </c>
      <c r="U964" t="str">
        <f t="shared" si="45"/>
        <v>2025-11</v>
      </c>
      <c r="V964">
        <f t="shared" si="46"/>
        <v>3</v>
      </c>
      <c r="W964" s="2">
        <f t="shared" si="47"/>
        <v>0.19340601883668626</v>
      </c>
    </row>
    <row r="965" spans="1:23">
      <c r="A965" t="s">
        <v>1721</v>
      </c>
      <c r="B965" s="1">
        <v>45675</v>
      </c>
      <c r="C965" s="1">
        <v>45679</v>
      </c>
      <c r="D965" t="s">
        <v>916</v>
      </c>
      <c r="E965" t="s">
        <v>524</v>
      </c>
      <c r="F965" t="s">
        <v>23</v>
      </c>
      <c r="G965" t="s">
        <v>44</v>
      </c>
      <c r="H965" t="s">
        <v>45</v>
      </c>
      <c r="I965" t="s">
        <v>46</v>
      </c>
      <c r="J965" t="s">
        <v>27</v>
      </c>
      <c r="K965" t="s">
        <v>28</v>
      </c>
      <c r="L965" t="s">
        <v>71</v>
      </c>
      <c r="M965" t="s">
        <v>72</v>
      </c>
      <c r="N965">
        <v>5</v>
      </c>
      <c r="O965">
        <v>41700</v>
      </c>
      <c r="P965">
        <v>0.15</v>
      </c>
      <c r="Q965">
        <v>177225</v>
      </c>
      <c r="R965">
        <v>104779.14</v>
      </c>
      <c r="S965">
        <v>72445.86</v>
      </c>
      <c r="T965" t="s">
        <v>40</v>
      </c>
      <c r="U965" t="str">
        <f t="shared" si="45"/>
        <v>2025-01</v>
      </c>
      <c r="V965">
        <f t="shared" si="46"/>
        <v>4</v>
      </c>
      <c r="W965" s="2">
        <f t="shared" si="47"/>
        <v>0.40877900973338976</v>
      </c>
    </row>
    <row r="966" spans="1:23">
      <c r="A966" t="s">
        <v>1722</v>
      </c>
      <c r="B966" s="1">
        <v>45820</v>
      </c>
      <c r="C966" s="1">
        <v>45825</v>
      </c>
      <c r="D966" t="s">
        <v>354</v>
      </c>
      <c r="E966" t="s">
        <v>1723</v>
      </c>
      <c r="F966" t="s">
        <v>23</v>
      </c>
      <c r="G966" t="s">
        <v>87</v>
      </c>
      <c r="H966" t="s">
        <v>88</v>
      </c>
      <c r="I966" t="s">
        <v>46</v>
      </c>
      <c r="J966" t="s">
        <v>27</v>
      </c>
      <c r="K966" t="s">
        <v>100</v>
      </c>
      <c r="L966" t="s">
        <v>105</v>
      </c>
      <c r="M966" t="s">
        <v>106</v>
      </c>
      <c r="N966">
        <v>1</v>
      </c>
      <c r="O966">
        <v>79800</v>
      </c>
      <c r="P966">
        <v>0.15</v>
      </c>
      <c r="Q966">
        <v>67830</v>
      </c>
      <c r="R966">
        <v>45165.22</v>
      </c>
      <c r="S966">
        <v>22664.78</v>
      </c>
      <c r="T966" t="s">
        <v>73</v>
      </c>
      <c r="U966" t="str">
        <f t="shared" si="45"/>
        <v>2025-06</v>
      </c>
      <c r="V966">
        <f t="shared" si="46"/>
        <v>5</v>
      </c>
      <c r="W966" s="2">
        <f t="shared" si="47"/>
        <v>0.33414094058676103</v>
      </c>
    </row>
    <row r="967" spans="1:23">
      <c r="A967" t="s">
        <v>1724</v>
      </c>
      <c r="B967" s="1">
        <v>45237</v>
      </c>
      <c r="C967" s="1">
        <v>45242</v>
      </c>
      <c r="D967" t="s">
        <v>834</v>
      </c>
      <c r="E967" t="s">
        <v>635</v>
      </c>
      <c r="F967" t="s">
        <v>23</v>
      </c>
      <c r="G967" t="s">
        <v>87</v>
      </c>
      <c r="H967" t="s">
        <v>88</v>
      </c>
      <c r="I967" t="s">
        <v>46</v>
      </c>
      <c r="J967" t="s">
        <v>27</v>
      </c>
      <c r="K967" t="s">
        <v>100</v>
      </c>
      <c r="L967" t="s">
        <v>101</v>
      </c>
      <c r="M967" t="s">
        <v>102</v>
      </c>
      <c r="N967">
        <v>3</v>
      </c>
      <c r="O967">
        <v>64900</v>
      </c>
      <c r="P967">
        <v>0</v>
      </c>
      <c r="Q967">
        <v>194700</v>
      </c>
      <c r="R967">
        <v>103940.71</v>
      </c>
      <c r="S967">
        <v>90759.29</v>
      </c>
      <c r="T967" t="s">
        <v>73</v>
      </c>
      <c r="U967" t="str">
        <f t="shared" si="45"/>
        <v>2023-11</v>
      </c>
      <c r="V967">
        <f t="shared" si="46"/>
        <v>5</v>
      </c>
      <c r="W967" s="2">
        <f t="shared" si="47"/>
        <v>0.46614940934771437</v>
      </c>
    </row>
    <row r="968" spans="1:23">
      <c r="A968" t="s">
        <v>1725</v>
      </c>
      <c r="B968" s="1">
        <v>45390</v>
      </c>
      <c r="C968" s="1">
        <v>45397</v>
      </c>
      <c r="D968" t="s">
        <v>737</v>
      </c>
      <c r="E968" t="s">
        <v>1726</v>
      </c>
      <c r="F968" t="s">
        <v>54</v>
      </c>
      <c r="G968" t="s">
        <v>87</v>
      </c>
      <c r="H968" t="s">
        <v>88</v>
      </c>
      <c r="I968" t="s">
        <v>46</v>
      </c>
      <c r="J968" t="s">
        <v>27</v>
      </c>
      <c r="K968" t="s">
        <v>28</v>
      </c>
      <c r="L968" t="s">
        <v>71</v>
      </c>
      <c r="M968" t="s">
        <v>72</v>
      </c>
      <c r="N968">
        <v>5</v>
      </c>
      <c r="O968">
        <v>43300</v>
      </c>
      <c r="P968">
        <v>0.25</v>
      </c>
      <c r="Q968">
        <v>162375</v>
      </c>
      <c r="R968">
        <v>120838.52</v>
      </c>
      <c r="S968">
        <v>41536.480000000003</v>
      </c>
      <c r="T968" t="s">
        <v>40</v>
      </c>
      <c r="U968" t="str">
        <f t="shared" si="45"/>
        <v>2024-04</v>
      </c>
      <c r="V968">
        <f t="shared" si="46"/>
        <v>7</v>
      </c>
      <c r="W968" s="2">
        <f t="shared" si="47"/>
        <v>0.25580588144726712</v>
      </c>
    </row>
    <row r="969" spans="1:23">
      <c r="A969" t="s">
        <v>1727</v>
      </c>
      <c r="B969" s="1">
        <v>45995</v>
      </c>
      <c r="C969" s="1">
        <v>45999</v>
      </c>
      <c r="D969" t="s">
        <v>713</v>
      </c>
      <c r="E969" t="s">
        <v>981</v>
      </c>
      <c r="F969" t="s">
        <v>23</v>
      </c>
      <c r="G969" t="s">
        <v>156</v>
      </c>
      <c r="H969" t="s">
        <v>157</v>
      </c>
      <c r="I969" t="s">
        <v>57</v>
      </c>
      <c r="J969" t="s">
        <v>27</v>
      </c>
      <c r="K969" t="s">
        <v>116</v>
      </c>
      <c r="L969" t="s">
        <v>207</v>
      </c>
      <c r="M969" t="s">
        <v>208</v>
      </c>
      <c r="N969">
        <v>1</v>
      </c>
      <c r="O969">
        <v>109900</v>
      </c>
      <c r="P969">
        <v>0.1</v>
      </c>
      <c r="Q969">
        <v>98910</v>
      </c>
      <c r="R969">
        <v>62048.44</v>
      </c>
      <c r="S969">
        <v>36861.56</v>
      </c>
      <c r="T969" t="s">
        <v>60</v>
      </c>
      <c r="U969" t="str">
        <f t="shared" si="45"/>
        <v>2025-12</v>
      </c>
      <c r="V969">
        <f t="shared" si="46"/>
        <v>4</v>
      </c>
      <c r="W969" s="2">
        <f t="shared" si="47"/>
        <v>0.37267778788797895</v>
      </c>
    </row>
    <row r="970" spans="1:23">
      <c r="A970" t="s">
        <v>1728</v>
      </c>
      <c r="B970" s="1">
        <v>45767</v>
      </c>
      <c r="C970" s="1">
        <v>45769</v>
      </c>
      <c r="D970" t="s">
        <v>62</v>
      </c>
      <c r="E970" t="s">
        <v>885</v>
      </c>
      <c r="F970" t="s">
        <v>23</v>
      </c>
      <c r="G970" t="s">
        <v>24</v>
      </c>
      <c r="H970" t="s">
        <v>25</v>
      </c>
      <c r="I970" t="s">
        <v>26</v>
      </c>
      <c r="J970" t="s">
        <v>47</v>
      </c>
      <c r="K970" t="s">
        <v>173</v>
      </c>
      <c r="L970" t="s">
        <v>203</v>
      </c>
      <c r="M970" t="s">
        <v>204</v>
      </c>
      <c r="N970">
        <v>3</v>
      </c>
      <c r="O970">
        <v>3155300</v>
      </c>
      <c r="P970">
        <v>0</v>
      </c>
      <c r="Q970">
        <v>9465900</v>
      </c>
      <c r="R970">
        <v>7614670.0999999996</v>
      </c>
      <c r="S970">
        <v>1851229.9</v>
      </c>
      <c r="T970" t="s">
        <v>73</v>
      </c>
      <c r="U970" t="str">
        <f t="shared" si="45"/>
        <v>2025-04</v>
      </c>
      <c r="V970">
        <f t="shared" si="46"/>
        <v>2</v>
      </c>
      <c r="W970" s="2">
        <f t="shared" si="47"/>
        <v>0.19556829250256183</v>
      </c>
    </row>
    <row r="971" spans="1:23">
      <c r="A971" t="s">
        <v>1729</v>
      </c>
      <c r="B971" s="1">
        <v>45214</v>
      </c>
      <c r="C971" s="1">
        <v>45218</v>
      </c>
      <c r="D971" t="s">
        <v>405</v>
      </c>
      <c r="E971" t="s">
        <v>1454</v>
      </c>
      <c r="F971" t="s">
        <v>23</v>
      </c>
      <c r="G971" t="s">
        <v>24</v>
      </c>
      <c r="H971" t="s">
        <v>25</v>
      </c>
      <c r="I971" t="s">
        <v>26</v>
      </c>
      <c r="J971" t="s">
        <v>47</v>
      </c>
      <c r="K971" t="s">
        <v>173</v>
      </c>
      <c r="L971" t="s">
        <v>203</v>
      </c>
      <c r="M971" t="s">
        <v>204</v>
      </c>
      <c r="N971">
        <v>4</v>
      </c>
      <c r="O971">
        <v>2887600</v>
      </c>
      <c r="P971">
        <v>0</v>
      </c>
      <c r="Q971">
        <v>11550400</v>
      </c>
      <c r="R971">
        <v>8694478.8900000006</v>
      </c>
      <c r="S971">
        <v>2855921.11</v>
      </c>
      <c r="T971" t="s">
        <v>60</v>
      </c>
      <c r="U971" t="str">
        <f t="shared" si="45"/>
        <v>2023-10</v>
      </c>
      <c r="V971">
        <f t="shared" si="46"/>
        <v>4</v>
      </c>
      <c r="W971" s="2">
        <f t="shared" si="47"/>
        <v>0.24725733394514474</v>
      </c>
    </row>
    <row r="972" spans="1:23">
      <c r="A972" t="s">
        <v>1730</v>
      </c>
      <c r="B972" s="1">
        <v>45891</v>
      </c>
      <c r="C972" s="1">
        <v>45893</v>
      </c>
      <c r="D972" t="s">
        <v>360</v>
      </c>
      <c r="E972" t="s">
        <v>115</v>
      </c>
      <c r="F972" t="s">
        <v>35</v>
      </c>
      <c r="G972" t="s">
        <v>44</v>
      </c>
      <c r="H972" t="s">
        <v>45</v>
      </c>
      <c r="I972" t="s">
        <v>46</v>
      </c>
      <c r="J972" t="s">
        <v>27</v>
      </c>
      <c r="K972" t="s">
        <v>179</v>
      </c>
      <c r="L972" t="s">
        <v>244</v>
      </c>
      <c r="M972" t="s">
        <v>245</v>
      </c>
      <c r="N972">
        <v>1</v>
      </c>
      <c r="O972">
        <v>41600</v>
      </c>
      <c r="P972">
        <v>0.15</v>
      </c>
      <c r="Q972">
        <v>35360</v>
      </c>
      <c r="R972">
        <v>21706.9</v>
      </c>
      <c r="S972">
        <v>13653.1</v>
      </c>
      <c r="T972" t="s">
        <v>40</v>
      </c>
      <c r="U972" t="str">
        <f t="shared" si="45"/>
        <v>2025-08</v>
      </c>
      <c r="V972">
        <f t="shared" si="46"/>
        <v>2</v>
      </c>
      <c r="W972" s="2">
        <f t="shared" si="47"/>
        <v>0.38611708144796381</v>
      </c>
    </row>
    <row r="973" spans="1:23">
      <c r="A973" t="s">
        <v>1731</v>
      </c>
      <c r="B973" s="1">
        <v>45450</v>
      </c>
      <c r="C973" s="1">
        <v>45451</v>
      </c>
      <c r="D973" t="s">
        <v>236</v>
      </c>
      <c r="E973" t="s">
        <v>300</v>
      </c>
      <c r="F973" t="s">
        <v>23</v>
      </c>
      <c r="G973" t="s">
        <v>55</v>
      </c>
      <c r="H973" t="s">
        <v>56</v>
      </c>
      <c r="I973" t="s">
        <v>57</v>
      </c>
      <c r="J973" t="s">
        <v>27</v>
      </c>
      <c r="K973" t="s">
        <v>116</v>
      </c>
      <c r="L973" t="s">
        <v>117</v>
      </c>
      <c r="M973" t="s">
        <v>118</v>
      </c>
      <c r="N973">
        <v>4</v>
      </c>
      <c r="O973">
        <v>25600</v>
      </c>
      <c r="P973">
        <v>0</v>
      </c>
      <c r="Q973">
        <v>102400</v>
      </c>
      <c r="R973">
        <v>54174.46</v>
      </c>
      <c r="S973">
        <v>48225.54</v>
      </c>
      <c r="T973" t="s">
        <v>40</v>
      </c>
      <c r="U973" t="str">
        <f t="shared" si="45"/>
        <v>2024-06</v>
      </c>
      <c r="V973">
        <f t="shared" si="46"/>
        <v>1</v>
      </c>
      <c r="W973" s="2">
        <f t="shared" si="47"/>
        <v>0.47095253906250001</v>
      </c>
    </row>
    <row r="974" spans="1:23">
      <c r="A974" t="s">
        <v>1732</v>
      </c>
      <c r="B974" s="1">
        <v>45939</v>
      </c>
      <c r="C974" s="1">
        <v>45946</v>
      </c>
      <c r="D974" t="s">
        <v>275</v>
      </c>
      <c r="E974" t="s">
        <v>172</v>
      </c>
      <c r="F974" t="s">
        <v>23</v>
      </c>
      <c r="G974" t="s">
        <v>169</v>
      </c>
      <c r="H974" t="s">
        <v>157</v>
      </c>
      <c r="I974" t="s">
        <v>57</v>
      </c>
      <c r="J974" t="s">
        <v>27</v>
      </c>
      <c r="K974" t="s">
        <v>116</v>
      </c>
      <c r="L974" t="s">
        <v>117</v>
      </c>
      <c r="M974" t="s">
        <v>118</v>
      </c>
      <c r="N974">
        <v>5</v>
      </c>
      <c r="O974">
        <v>26000</v>
      </c>
      <c r="P974">
        <v>0.15</v>
      </c>
      <c r="Q974">
        <v>110500</v>
      </c>
      <c r="R974">
        <v>62799.44</v>
      </c>
      <c r="S974">
        <v>47700.56</v>
      </c>
      <c r="T974" t="s">
        <v>31</v>
      </c>
      <c r="U974" t="str">
        <f t="shared" si="45"/>
        <v>2025-10</v>
      </c>
      <c r="V974">
        <f t="shared" si="46"/>
        <v>7</v>
      </c>
      <c r="W974" s="2">
        <f t="shared" si="47"/>
        <v>0.43167927601809952</v>
      </c>
    </row>
    <row r="975" spans="1:23">
      <c r="A975" t="s">
        <v>1733</v>
      </c>
      <c r="B975" s="1">
        <v>45600</v>
      </c>
      <c r="C975" s="1">
        <v>45604</v>
      </c>
      <c r="D975" t="s">
        <v>177</v>
      </c>
      <c r="E975" t="s">
        <v>193</v>
      </c>
      <c r="F975" t="s">
        <v>23</v>
      </c>
      <c r="G975" t="s">
        <v>156</v>
      </c>
      <c r="H975" t="s">
        <v>157</v>
      </c>
      <c r="I975" t="s">
        <v>57</v>
      </c>
      <c r="J975" t="s">
        <v>27</v>
      </c>
      <c r="K975" t="s">
        <v>179</v>
      </c>
      <c r="L975" t="s">
        <v>244</v>
      </c>
      <c r="M975" t="s">
        <v>245</v>
      </c>
      <c r="N975">
        <v>4</v>
      </c>
      <c r="O975">
        <v>38300</v>
      </c>
      <c r="P975">
        <v>0.1</v>
      </c>
      <c r="Q975">
        <v>137880</v>
      </c>
      <c r="R975">
        <v>74974.58</v>
      </c>
      <c r="S975">
        <v>62905.42</v>
      </c>
      <c r="T975" t="s">
        <v>31</v>
      </c>
      <c r="U975" t="str">
        <f t="shared" si="45"/>
        <v>2024-11</v>
      </c>
      <c r="V975">
        <f t="shared" si="46"/>
        <v>4</v>
      </c>
      <c r="W975" s="2">
        <f t="shared" si="47"/>
        <v>0.45623310124746153</v>
      </c>
    </row>
    <row r="976" spans="1:23">
      <c r="A976" t="s">
        <v>1734</v>
      </c>
      <c r="B976" s="1">
        <v>45139</v>
      </c>
      <c r="C976" s="1">
        <v>45146</v>
      </c>
      <c r="D976" t="s">
        <v>357</v>
      </c>
      <c r="E976" t="s">
        <v>546</v>
      </c>
      <c r="F976" t="s">
        <v>35</v>
      </c>
      <c r="G976" t="s">
        <v>87</v>
      </c>
      <c r="H976" t="s">
        <v>88</v>
      </c>
      <c r="I976" t="s">
        <v>46</v>
      </c>
      <c r="J976" t="s">
        <v>27</v>
      </c>
      <c r="K976" t="s">
        <v>116</v>
      </c>
      <c r="L976" t="s">
        <v>207</v>
      </c>
      <c r="M976" t="s">
        <v>208</v>
      </c>
      <c r="N976">
        <v>3</v>
      </c>
      <c r="O976">
        <v>125500</v>
      </c>
      <c r="P976">
        <v>0.1</v>
      </c>
      <c r="Q976">
        <v>338850</v>
      </c>
      <c r="R976">
        <v>205049.32</v>
      </c>
      <c r="S976">
        <v>133800.68</v>
      </c>
      <c r="T976" t="s">
        <v>40</v>
      </c>
      <c r="U976" t="str">
        <f t="shared" si="45"/>
        <v>2023-08</v>
      </c>
      <c r="V976">
        <f t="shared" si="46"/>
        <v>7</v>
      </c>
      <c r="W976" s="2">
        <f t="shared" si="47"/>
        <v>0.39486699129408293</v>
      </c>
    </row>
    <row r="977" spans="1:23">
      <c r="A977" t="s">
        <v>1735</v>
      </c>
      <c r="B977" s="1">
        <v>45128</v>
      </c>
      <c r="C977" s="1">
        <v>45133</v>
      </c>
      <c r="D977" t="s">
        <v>1188</v>
      </c>
      <c r="E977" t="s">
        <v>1214</v>
      </c>
      <c r="F977" t="s">
        <v>35</v>
      </c>
      <c r="G977" t="s">
        <v>156</v>
      </c>
      <c r="H977" t="s">
        <v>157</v>
      </c>
      <c r="I977" t="s">
        <v>57</v>
      </c>
      <c r="J977" t="s">
        <v>47</v>
      </c>
      <c r="K977" t="s">
        <v>173</v>
      </c>
      <c r="L977" t="s">
        <v>174</v>
      </c>
      <c r="M977" t="s">
        <v>175</v>
      </c>
      <c r="N977">
        <v>5</v>
      </c>
      <c r="O977">
        <v>4972700</v>
      </c>
      <c r="P977">
        <v>0</v>
      </c>
      <c r="Q977">
        <v>24863500</v>
      </c>
      <c r="R977">
        <v>19283909.969999999</v>
      </c>
      <c r="S977">
        <v>5579590.0300000003</v>
      </c>
      <c r="T977" t="s">
        <v>40</v>
      </c>
      <c r="U977" t="str">
        <f t="shared" si="45"/>
        <v>2023-07</v>
      </c>
      <c r="V977">
        <f t="shared" si="46"/>
        <v>5</v>
      </c>
      <c r="W977" s="2">
        <f t="shared" si="47"/>
        <v>0.22440887365012971</v>
      </c>
    </row>
    <row r="978" spans="1:23">
      <c r="A978" t="s">
        <v>1736</v>
      </c>
      <c r="B978" s="1">
        <v>45997</v>
      </c>
      <c r="C978" s="1">
        <v>45998</v>
      </c>
      <c r="D978" t="s">
        <v>1172</v>
      </c>
      <c r="E978" t="s">
        <v>430</v>
      </c>
      <c r="F978" t="s">
        <v>23</v>
      </c>
      <c r="G978" t="s">
        <v>140</v>
      </c>
      <c r="H978" t="s">
        <v>141</v>
      </c>
      <c r="I978" t="s">
        <v>46</v>
      </c>
      <c r="J978" t="s">
        <v>27</v>
      </c>
      <c r="K978" t="s">
        <v>116</v>
      </c>
      <c r="L978" t="s">
        <v>117</v>
      </c>
      <c r="M978" t="s">
        <v>118</v>
      </c>
      <c r="N978">
        <v>1</v>
      </c>
      <c r="O978">
        <v>29900</v>
      </c>
      <c r="P978">
        <v>0</v>
      </c>
      <c r="Q978">
        <v>29900</v>
      </c>
      <c r="R978">
        <v>15671.99</v>
      </c>
      <c r="S978">
        <v>14228.01</v>
      </c>
      <c r="T978" t="s">
        <v>73</v>
      </c>
      <c r="U978" t="str">
        <f t="shared" si="45"/>
        <v>2025-12</v>
      </c>
      <c r="V978">
        <f t="shared" si="46"/>
        <v>1</v>
      </c>
      <c r="W978" s="2">
        <f t="shared" si="47"/>
        <v>0.47585317725752507</v>
      </c>
    </row>
    <row r="979" spans="1:23">
      <c r="A979" t="s">
        <v>1737</v>
      </c>
      <c r="B979" s="1">
        <v>45446</v>
      </c>
      <c r="C979" s="1">
        <v>45449</v>
      </c>
      <c r="D979" t="s">
        <v>75</v>
      </c>
      <c r="E979" t="s">
        <v>1372</v>
      </c>
      <c r="F979" t="s">
        <v>54</v>
      </c>
      <c r="G979" t="s">
        <v>156</v>
      </c>
      <c r="H979" t="s">
        <v>157</v>
      </c>
      <c r="I979" t="s">
        <v>57</v>
      </c>
      <c r="J979" t="s">
        <v>27</v>
      </c>
      <c r="K979" t="s">
        <v>179</v>
      </c>
      <c r="L979" t="s">
        <v>180</v>
      </c>
      <c r="M979" t="s">
        <v>181</v>
      </c>
      <c r="N979">
        <v>1</v>
      </c>
      <c r="O979">
        <v>60100</v>
      </c>
      <c r="P979">
        <v>0.05</v>
      </c>
      <c r="Q979">
        <v>57095</v>
      </c>
      <c r="R979">
        <v>33155.26</v>
      </c>
      <c r="S979">
        <v>23939.74</v>
      </c>
      <c r="T979" t="s">
        <v>73</v>
      </c>
      <c r="U979" t="str">
        <f t="shared" si="45"/>
        <v>2024-06</v>
      </c>
      <c r="V979">
        <f t="shared" si="46"/>
        <v>3</v>
      </c>
      <c r="W979" s="2">
        <f t="shared" si="47"/>
        <v>0.4192966109116385</v>
      </c>
    </row>
    <row r="980" spans="1:23">
      <c r="A980" t="s">
        <v>1738</v>
      </c>
      <c r="B980" s="1">
        <v>45255</v>
      </c>
      <c r="C980" s="1">
        <v>45257</v>
      </c>
      <c r="D980" t="s">
        <v>380</v>
      </c>
      <c r="E980" t="s">
        <v>417</v>
      </c>
      <c r="F980" t="s">
        <v>35</v>
      </c>
      <c r="G980" t="s">
        <v>156</v>
      </c>
      <c r="H980" t="s">
        <v>157</v>
      </c>
      <c r="I980" t="s">
        <v>57</v>
      </c>
      <c r="J980" t="s">
        <v>36</v>
      </c>
      <c r="K980" t="s">
        <v>37</v>
      </c>
      <c r="L980" t="s">
        <v>38</v>
      </c>
      <c r="M980" t="s">
        <v>39</v>
      </c>
      <c r="N980">
        <v>4</v>
      </c>
      <c r="O980">
        <v>919100</v>
      </c>
      <c r="P980">
        <v>0.05</v>
      </c>
      <c r="Q980">
        <v>3492580</v>
      </c>
      <c r="R980">
        <v>2403836.42</v>
      </c>
      <c r="S980">
        <v>1088743.58</v>
      </c>
      <c r="T980" t="s">
        <v>60</v>
      </c>
      <c r="U980" t="str">
        <f t="shared" si="45"/>
        <v>2023-11</v>
      </c>
      <c r="V980">
        <f t="shared" si="46"/>
        <v>2</v>
      </c>
      <c r="W980" s="2">
        <f t="shared" si="47"/>
        <v>0.31173046286699235</v>
      </c>
    </row>
    <row r="981" spans="1:23">
      <c r="A981" t="s">
        <v>1739</v>
      </c>
      <c r="B981" s="1">
        <v>45393</v>
      </c>
      <c r="C981" s="1">
        <v>45396</v>
      </c>
      <c r="D981" t="s">
        <v>287</v>
      </c>
      <c r="E981" t="s">
        <v>1705</v>
      </c>
      <c r="F981" t="s">
        <v>35</v>
      </c>
      <c r="G981" t="s">
        <v>44</v>
      </c>
      <c r="H981" t="s">
        <v>45</v>
      </c>
      <c r="I981" t="s">
        <v>46</v>
      </c>
      <c r="J981" t="s">
        <v>27</v>
      </c>
      <c r="K981" t="s">
        <v>100</v>
      </c>
      <c r="L981" t="s">
        <v>105</v>
      </c>
      <c r="M981" t="s">
        <v>106</v>
      </c>
      <c r="N981">
        <v>3</v>
      </c>
      <c r="O981">
        <v>79100</v>
      </c>
      <c r="P981">
        <v>0.15</v>
      </c>
      <c r="Q981">
        <v>201705</v>
      </c>
      <c r="R981">
        <v>134369.24</v>
      </c>
      <c r="S981">
        <v>67335.759999999995</v>
      </c>
      <c r="T981" t="s">
        <v>60</v>
      </c>
      <c r="U981" t="str">
        <f t="shared" si="45"/>
        <v>2024-04</v>
      </c>
      <c r="V981">
        <f t="shared" si="46"/>
        <v>3</v>
      </c>
      <c r="W981" s="2">
        <f t="shared" si="47"/>
        <v>0.33383287474281748</v>
      </c>
    </row>
    <row r="982" spans="1:23">
      <c r="A982" t="s">
        <v>1740</v>
      </c>
      <c r="B982" s="1">
        <v>45823</v>
      </c>
      <c r="C982" s="1">
        <v>45826</v>
      </c>
      <c r="D982" t="s">
        <v>816</v>
      </c>
      <c r="E982" t="s">
        <v>347</v>
      </c>
      <c r="F982" t="s">
        <v>23</v>
      </c>
      <c r="G982" t="s">
        <v>156</v>
      </c>
      <c r="H982" t="s">
        <v>157</v>
      </c>
      <c r="I982" t="s">
        <v>57</v>
      </c>
      <c r="J982" t="s">
        <v>27</v>
      </c>
      <c r="K982" t="s">
        <v>28</v>
      </c>
      <c r="L982" t="s">
        <v>71</v>
      </c>
      <c r="M982" t="s">
        <v>72</v>
      </c>
      <c r="N982">
        <v>3</v>
      </c>
      <c r="O982">
        <v>49500</v>
      </c>
      <c r="P982">
        <v>0.15</v>
      </c>
      <c r="Q982">
        <v>126225</v>
      </c>
      <c r="R982">
        <v>78985.490000000005</v>
      </c>
      <c r="S982">
        <v>47239.51</v>
      </c>
      <c r="T982" t="s">
        <v>73</v>
      </c>
      <c r="U982" t="str">
        <f t="shared" si="45"/>
        <v>2025-06</v>
      </c>
      <c r="V982">
        <f t="shared" si="46"/>
        <v>3</v>
      </c>
      <c r="W982" s="2">
        <f t="shared" si="47"/>
        <v>0.37424844523668055</v>
      </c>
    </row>
    <row r="983" spans="1:23">
      <c r="A983" t="s">
        <v>1741</v>
      </c>
      <c r="B983" s="1">
        <v>45082</v>
      </c>
      <c r="C983" s="1">
        <v>45084</v>
      </c>
      <c r="D983" t="s">
        <v>871</v>
      </c>
      <c r="E983" t="s">
        <v>1659</v>
      </c>
      <c r="F983" t="s">
        <v>23</v>
      </c>
      <c r="G983" t="s">
        <v>95</v>
      </c>
      <c r="H983" t="s">
        <v>96</v>
      </c>
      <c r="I983" t="s">
        <v>26</v>
      </c>
      <c r="J983" t="s">
        <v>47</v>
      </c>
      <c r="K983" t="s">
        <v>48</v>
      </c>
      <c r="L983" t="s">
        <v>225</v>
      </c>
      <c r="M983" t="s">
        <v>226</v>
      </c>
      <c r="N983">
        <v>2</v>
      </c>
      <c r="O983">
        <v>227100</v>
      </c>
      <c r="P983">
        <v>0.25</v>
      </c>
      <c r="Q983">
        <v>340650</v>
      </c>
      <c r="R983">
        <v>262565.21999999997</v>
      </c>
      <c r="S983">
        <v>78084.78</v>
      </c>
      <c r="T983" t="s">
        <v>60</v>
      </c>
      <c r="U983" t="str">
        <f t="shared" si="45"/>
        <v>2023-06</v>
      </c>
      <c r="V983">
        <f t="shared" si="46"/>
        <v>2</v>
      </c>
      <c r="W983" s="2">
        <f t="shared" si="47"/>
        <v>0.22922289740202553</v>
      </c>
    </row>
    <row r="984" spans="1:23">
      <c r="A984" t="s">
        <v>1742</v>
      </c>
      <c r="B984" s="1">
        <v>45095</v>
      </c>
      <c r="C984" s="1">
        <v>45098</v>
      </c>
      <c r="D984" t="s">
        <v>610</v>
      </c>
      <c r="E984" t="s">
        <v>1743</v>
      </c>
      <c r="F984" t="s">
        <v>23</v>
      </c>
      <c r="G984" t="s">
        <v>140</v>
      </c>
      <c r="H984" t="s">
        <v>141</v>
      </c>
      <c r="I984" t="s">
        <v>46</v>
      </c>
      <c r="J984" t="s">
        <v>27</v>
      </c>
      <c r="K984" t="s">
        <v>116</v>
      </c>
      <c r="L984" t="s">
        <v>207</v>
      </c>
      <c r="M984" t="s">
        <v>208</v>
      </c>
      <c r="N984">
        <v>3</v>
      </c>
      <c r="O984">
        <v>110400</v>
      </c>
      <c r="P984">
        <v>0.05</v>
      </c>
      <c r="Q984">
        <v>314640</v>
      </c>
      <c r="R984">
        <v>199794.3</v>
      </c>
      <c r="S984">
        <v>114845.7</v>
      </c>
      <c r="T984" t="s">
        <v>73</v>
      </c>
      <c r="U984" t="str">
        <f t="shared" si="45"/>
        <v>2023-06</v>
      </c>
      <c r="V984">
        <f t="shared" si="46"/>
        <v>3</v>
      </c>
      <c r="W984" s="2">
        <f t="shared" si="47"/>
        <v>0.36500667429443173</v>
      </c>
    </row>
    <row r="985" spans="1:23">
      <c r="A985" t="s">
        <v>1744</v>
      </c>
      <c r="B985" s="1">
        <v>45389</v>
      </c>
      <c r="C985" s="1">
        <v>45393</v>
      </c>
      <c r="D985" t="s">
        <v>1236</v>
      </c>
      <c r="E985" t="s">
        <v>607</v>
      </c>
      <c r="F985" t="s">
        <v>23</v>
      </c>
      <c r="G985" t="s">
        <v>80</v>
      </c>
      <c r="H985" t="s">
        <v>45</v>
      </c>
      <c r="I985" t="s">
        <v>46</v>
      </c>
      <c r="J985" t="s">
        <v>27</v>
      </c>
      <c r="K985" t="s">
        <v>28</v>
      </c>
      <c r="L985" t="s">
        <v>29</v>
      </c>
      <c r="M985" t="s">
        <v>30</v>
      </c>
      <c r="N985">
        <v>8</v>
      </c>
      <c r="O985">
        <v>74000</v>
      </c>
      <c r="P985">
        <v>0.05</v>
      </c>
      <c r="Q985">
        <v>562400</v>
      </c>
      <c r="R985">
        <v>321938.06</v>
      </c>
      <c r="S985">
        <v>240461.94</v>
      </c>
      <c r="T985" t="s">
        <v>73</v>
      </c>
      <c r="U985" t="str">
        <f t="shared" si="45"/>
        <v>2024-04</v>
      </c>
      <c r="V985">
        <f t="shared" si="46"/>
        <v>4</v>
      </c>
      <c r="W985" s="2">
        <f t="shared" si="47"/>
        <v>0.42756390469416783</v>
      </c>
    </row>
    <row r="986" spans="1:23">
      <c r="A986" t="s">
        <v>1745</v>
      </c>
      <c r="B986" s="1">
        <v>45989</v>
      </c>
      <c r="C986" s="1">
        <v>45994</v>
      </c>
      <c r="D986" t="s">
        <v>192</v>
      </c>
      <c r="E986" t="s">
        <v>625</v>
      </c>
      <c r="F986" t="s">
        <v>35</v>
      </c>
      <c r="G986" t="s">
        <v>169</v>
      </c>
      <c r="H986" t="s">
        <v>157</v>
      </c>
      <c r="I986" t="s">
        <v>57</v>
      </c>
      <c r="J986" t="s">
        <v>36</v>
      </c>
      <c r="K986" t="s">
        <v>37</v>
      </c>
      <c r="L986" t="s">
        <v>38</v>
      </c>
      <c r="M986" t="s">
        <v>39</v>
      </c>
      <c r="N986">
        <v>4</v>
      </c>
      <c r="O986">
        <v>938800</v>
      </c>
      <c r="P986">
        <v>0.05</v>
      </c>
      <c r="Q986">
        <v>3567440</v>
      </c>
      <c r="R986">
        <v>2724640.46</v>
      </c>
      <c r="S986">
        <v>842799.54</v>
      </c>
      <c r="T986" t="s">
        <v>60</v>
      </c>
      <c r="U986" t="str">
        <f t="shared" si="45"/>
        <v>2025-11</v>
      </c>
      <c r="V986">
        <f t="shared" si="46"/>
        <v>5</v>
      </c>
      <c r="W986" s="2">
        <f t="shared" si="47"/>
        <v>0.23624771264548247</v>
      </c>
    </row>
    <row r="987" spans="1:23">
      <c r="A987" t="s">
        <v>1746</v>
      </c>
      <c r="B987" s="1">
        <v>45658</v>
      </c>
      <c r="C987" s="1">
        <v>45659</v>
      </c>
      <c r="D987" t="s">
        <v>93</v>
      </c>
      <c r="E987" t="s">
        <v>424</v>
      </c>
      <c r="F987" t="s">
        <v>54</v>
      </c>
      <c r="G987" t="s">
        <v>156</v>
      </c>
      <c r="H987" t="s">
        <v>157</v>
      </c>
      <c r="I987" t="s">
        <v>57</v>
      </c>
      <c r="J987" t="s">
        <v>27</v>
      </c>
      <c r="K987" t="s">
        <v>28</v>
      </c>
      <c r="L987" t="s">
        <v>71</v>
      </c>
      <c r="M987" t="s">
        <v>72</v>
      </c>
      <c r="N987">
        <v>4</v>
      </c>
      <c r="O987">
        <v>46200</v>
      </c>
      <c r="P987">
        <v>0</v>
      </c>
      <c r="Q987">
        <v>184800</v>
      </c>
      <c r="R987">
        <v>102752.79</v>
      </c>
      <c r="S987">
        <v>82047.210000000006</v>
      </c>
      <c r="T987" t="s">
        <v>73</v>
      </c>
      <c r="U987" t="str">
        <f t="shared" si="45"/>
        <v>2025-01</v>
      </c>
      <c r="V987">
        <f t="shared" si="46"/>
        <v>1</v>
      </c>
      <c r="W987" s="2">
        <f t="shared" si="47"/>
        <v>0.44397840909090913</v>
      </c>
    </row>
    <row r="988" spans="1:23">
      <c r="A988" t="s">
        <v>1747</v>
      </c>
      <c r="B988" s="1">
        <v>45569</v>
      </c>
      <c r="C988" s="1">
        <v>45570</v>
      </c>
      <c r="D988" t="s">
        <v>456</v>
      </c>
      <c r="E988" t="s">
        <v>372</v>
      </c>
      <c r="F988" t="s">
        <v>35</v>
      </c>
      <c r="G988" t="s">
        <v>156</v>
      </c>
      <c r="H988" t="s">
        <v>157</v>
      </c>
      <c r="I988" t="s">
        <v>57</v>
      </c>
      <c r="J988" t="s">
        <v>27</v>
      </c>
      <c r="K988" t="s">
        <v>28</v>
      </c>
      <c r="L988" t="s">
        <v>29</v>
      </c>
      <c r="M988" t="s">
        <v>30</v>
      </c>
      <c r="N988">
        <v>2</v>
      </c>
      <c r="O988">
        <v>69800</v>
      </c>
      <c r="P988">
        <v>0</v>
      </c>
      <c r="Q988">
        <v>139600</v>
      </c>
      <c r="R988">
        <v>77679.05</v>
      </c>
      <c r="S988">
        <v>61920.95</v>
      </c>
      <c r="T988" t="s">
        <v>73</v>
      </c>
      <c r="U988" t="str">
        <f t="shared" si="45"/>
        <v>2024-10</v>
      </c>
      <c r="V988">
        <f t="shared" si="46"/>
        <v>1</v>
      </c>
      <c r="W988" s="2">
        <f t="shared" si="47"/>
        <v>0.44355981375358167</v>
      </c>
    </row>
    <row r="989" spans="1:23">
      <c r="A989" t="s">
        <v>1748</v>
      </c>
      <c r="B989" s="1">
        <v>45059</v>
      </c>
      <c r="C989" s="1">
        <v>45061</v>
      </c>
      <c r="D989" t="s">
        <v>1406</v>
      </c>
      <c r="E989" t="s">
        <v>318</v>
      </c>
      <c r="F989" t="s">
        <v>35</v>
      </c>
      <c r="G989" t="s">
        <v>87</v>
      </c>
      <c r="H989" t="s">
        <v>88</v>
      </c>
      <c r="I989" t="s">
        <v>46</v>
      </c>
      <c r="J989" t="s">
        <v>47</v>
      </c>
      <c r="K989" t="s">
        <v>128</v>
      </c>
      <c r="L989" t="s">
        <v>129</v>
      </c>
      <c r="M989" t="s">
        <v>130</v>
      </c>
      <c r="N989">
        <v>2</v>
      </c>
      <c r="O989">
        <v>1530300</v>
      </c>
      <c r="P989">
        <v>0</v>
      </c>
      <c r="Q989">
        <v>3060600</v>
      </c>
      <c r="R989">
        <v>2194979.65</v>
      </c>
      <c r="S989">
        <v>865620.35</v>
      </c>
      <c r="T989" t="s">
        <v>60</v>
      </c>
      <c r="U989" t="str">
        <f t="shared" si="45"/>
        <v>2023-05</v>
      </c>
      <c r="V989">
        <f t="shared" si="46"/>
        <v>2</v>
      </c>
      <c r="W989" s="2">
        <f t="shared" si="47"/>
        <v>0.28282701104358621</v>
      </c>
    </row>
    <row r="990" spans="1:23">
      <c r="A990" t="s">
        <v>1749</v>
      </c>
      <c r="B990" s="1">
        <v>44983</v>
      </c>
      <c r="C990" s="1">
        <v>44989</v>
      </c>
      <c r="D990" t="s">
        <v>331</v>
      </c>
      <c r="E990" t="s">
        <v>1022</v>
      </c>
      <c r="F990" t="s">
        <v>54</v>
      </c>
      <c r="G990" t="s">
        <v>80</v>
      </c>
      <c r="H990" t="s">
        <v>45</v>
      </c>
      <c r="I990" t="s">
        <v>46</v>
      </c>
      <c r="J990" t="s">
        <v>36</v>
      </c>
      <c r="K990" t="s">
        <v>89</v>
      </c>
      <c r="L990" t="s">
        <v>90</v>
      </c>
      <c r="M990" t="s">
        <v>91</v>
      </c>
      <c r="N990">
        <v>3</v>
      </c>
      <c r="O990">
        <v>3049700</v>
      </c>
      <c r="P990">
        <v>0.1</v>
      </c>
      <c r="Q990">
        <v>8234190</v>
      </c>
      <c r="R990">
        <v>6337802.5899999999</v>
      </c>
      <c r="S990">
        <v>1896387.41</v>
      </c>
      <c r="T990" t="s">
        <v>73</v>
      </c>
      <c r="U990" t="str">
        <f t="shared" si="45"/>
        <v>2023-02</v>
      </c>
      <c r="V990">
        <f t="shared" si="46"/>
        <v>6</v>
      </c>
      <c r="W990" s="2">
        <f t="shared" si="47"/>
        <v>0.23030649159176556</v>
      </c>
    </row>
    <row r="991" spans="1:23">
      <c r="A991" t="s">
        <v>1750</v>
      </c>
      <c r="B991" s="1">
        <v>45967</v>
      </c>
      <c r="C991" s="1">
        <v>45971</v>
      </c>
      <c r="D991" t="s">
        <v>210</v>
      </c>
      <c r="E991" t="s">
        <v>839</v>
      </c>
      <c r="F991" t="s">
        <v>54</v>
      </c>
      <c r="G991" t="s">
        <v>140</v>
      </c>
      <c r="H991" t="s">
        <v>141</v>
      </c>
      <c r="I991" t="s">
        <v>46</v>
      </c>
      <c r="J991" t="s">
        <v>47</v>
      </c>
      <c r="K991" t="s">
        <v>48</v>
      </c>
      <c r="L991" t="s">
        <v>49</v>
      </c>
      <c r="M991" t="s">
        <v>50</v>
      </c>
      <c r="N991">
        <v>4</v>
      </c>
      <c r="O991">
        <v>474700</v>
      </c>
      <c r="P991">
        <v>0</v>
      </c>
      <c r="Q991">
        <v>1898800</v>
      </c>
      <c r="R991">
        <v>1267970.6399999999</v>
      </c>
      <c r="S991">
        <v>630829.36</v>
      </c>
      <c r="T991" t="s">
        <v>31</v>
      </c>
      <c r="U991" t="str">
        <f t="shared" si="45"/>
        <v>2025-11</v>
      </c>
      <c r="V991">
        <f t="shared" si="46"/>
        <v>4</v>
      </c>
      <c r="W991" s="2">
        <f t="shared" si="47"/>
        <v>0.33222527912365701</v>
      </c>
    </row>
    <row r="992" spans="1:23">
      <c r="A992" t="s">
        <v>1751</v>
      </c>
      <c r="B992" s="1">
        <v>45257</v>
      </c>
      <c r="C992" s="1">
        <v>45263</v>
      </c>
      <c r="D992" t="s">
        <v>1445</v>
      </c>
      <c r="E992" t="s">
        <v>1016</v>
      </c>
      <c r="F992" t="s">
        <v>23</v>
      </c>
      <c r="G992" t="s">
        <v>80</v>
      </c>
      <c r="H992" t="s">
        <v>45</v>
      </c>
      <c r="I992" t="s">
        <v>46</v>
      </c>
      <c r="J992" t="s">
        <v>47</v>
      </c>
      <c r="K992" t="s">
        <v>173</v>
      </c>
      <c r="L992" t="s">
        <v>203</v>
      </c>
      <c r="M992" t="s">
        <v>204</v>
      </c>
      <c r="N992">
        <v>4</v>
      </c>
      <c r="O992">
        <v>3113600</v>
      </c>
      <c r="P992">
        <v>0</v>
      </c>
      <c r="Q992">
        <v>12454400</v>
      </c>
      <c r="R992">
        <v>9488649.4499999993</v>
      </c>
      <c r="S992">
        <v>2965750.55</v>
      </c>
      <c r="T992" t="s">
        <v>40</v>
      </c>
      <c r="U992" t="str">
        <f t="shared" si="45"/>
        <v>2023-11</v>
      </c>
      <c r="V992">
        <f t="shared" si="46"/>
        <v>6</v>
      </c>
      <c r="W992" s="2">
        <f t="shared" si="47"/>
        <v>0.23812873763489206</v>
      </c>
    </row>
    <row r="993" spans="1:23">
      <c r="A993" t="s">
        <v>1752</v>
      </c>
      <c r="B993" s="1">
        <v>45707</v>
      </c>
      <c r="C993" s="1">
        <v>45713</v>
      </c>
      <c r="D993" t="s">
        <v>221</v>
      </c>
      <c r="E993" t="s">
        <v>1753</v>
      </c>
      <c r="F993" t="s">
        <v>23</v>
      </c>
      <c r="G993" t="s">
        <v>80</v>
      </c>
      <c r="H993" t="s">
        <v>45</v>
      </c>
      <c r="I993" t="s">
        <v>46</v>
      </c>
      <c r="J993" t="s">
        <v>36</v>
      </c>
      <c r="K993" t="s">
        <v>89</v>
      </c>
      <c r="L993" t="s">
        <v>151</v>
      </c>
      <c r="M993" t="s">
        <v>152</v>
      </c>
      <c r="N993">
        <v>1</v>
      </c>
      <c r="O993">
        <v>1243300</v>
      </c>
      <c r="P993">
        <v>0</v>
      </c>
      <c r="Q993">
        <v>1243300</v>
      </c>
      <c r="R993">
        <v>801186.22</v>
      </c>
      <c r="S993">
        <v>442113.78</v>
      </c>
      <c r="T993" t="s">
        <v>60</v>
      </c>
      <c r="U993" t="str">
        <f t="shared" si="45"/>
        <v>2025-02</v>
      </c>
      <c r="V993">
        <f t="shared" si="46"/>
        <v>6</v>
      </c>
      <c r="W993" s="2">
        <f t="shared" si="47"/>
        <v>0.35559702404890214</v>
      </c>
    </row>
    <row r="994" spans="1:23">
      <c r="A994" t="s">
        <v>1754</v>
      </c>
      <c r="B994" s="1">
        <v>45391</v>
      </c>
      <c r="C994" s="1">
        <v>45394</v>
      </c>
      <c r="D994" t="s">
        <v>123</v>
      </c>
      <c r="E994" t="s">
        <v>808</v>
      </c>
      <c r="F994" t="s">
        <v>23</v>
      </c>
      <c r="G994" t="s">
        <v>156</v>
      </c>
      <c r="H994" t="s">
        <v>157</v>
      </c>
      <c r="I994" t="s">
        <v>57</v>
      </c>
      <c r="J994" t="s">
        <v>27</v>
      </c>
      <c r="K994" t="s">
        <v>100</v>
      </c>
      <c r="L994" t="s">
        <v>105</v>
      </c>
      <c r="M994" t="s">
        <v>106</v>
      </c>
      <c r="N994">
        <v>2</v>
      </c>
      <c r="O994">
        <v>68700</v>
      </c>
      <c r="P994">
        <v>0.1</v>
      </c>
      <c r="Q994">
        <v>123660</v>
      </c>
      <c r="R994">
        <v>85880.99</v>
      </c>
      <c r="S994">
        <v>37779.01</v>
      </c>
      <c r="T994" t="s">
        <v>31</v>
      </c>
      <c r="U994" t="str">
        <f t="shared" si="45"/>
        <v>2024-04</v>
      </c>
      <c r="V994">
        <f t="shared" si="46"/>
        <v>3</v>
      </c>
      <c r="W994" s="2">
        <f t="shared" si="47"/>
        <v>0.30550711628659227</v>
      </c>
    </row>
    <row r="995" spans="1:23">
      <c r="A995" t="s">
        <v>1755</v>
      </c>
      <c r="B995" s="1">
        <v>45122</v>
      </c>
      <c r="C995" s="1">
        <v>45124</v>
      </c>
      <c r="D995" t="s">
        <v>677</v>
      </c>
      <c r="E995" t="s">
        <v>1578</v>
      </c>
      <c r="F995" t="s">
        <v>23</v>
      </c>
      <c r="G995" t="s">
        <v>140</v>
      </c>
      <c r="H995" t="s">
        <v>141</v>
      </c>
      <c r="I995" t="s">
        <v>46</v>
      </c>
      <c r="J995" t="s">
        <v>47</v>
      </c>
      <c r="K995" t="s">
        <v>142</v>
      </c>
      <c r="L995" t="s">
        <v>158</v>
      </c>
      <c r="M995" t="s">
        <v>159</v>
      </c>
      <c r="N995">
        <v>1</v>
      </c>
      <c r="O995">
        <v>9012900</v>
      </c>
      <c r="P995">
        <v>0.1</v>
      </c>
      <c r="Q995">
        <v>8111610</v>
      </c>
      <c r="R995">
        <v>7463933.6699999999</v>
      </c>
      <c r="S995">
        <v>647676.32999999996</v>
      </c>
      <c r="T995" t="s">
        <v>60</v>
      </c>
      <c r="U995" t="str">
        <f t="shared" si="45"/>
        <v>2023-07</v>
      </c>
      <c r="V995">
        <f t="shared" si="46"/>
        <v>2</v>
      </c>
      <c r="W995" s="2">
        <f t="shared" si="47"/>
        <v>7.9845595387352197E-2</v>
      </c>
    </row>
    <row r="996" spans="1:23">
      <c r="A996" t="s">
        <v>1756</v>
      </c>
      <c r="B996" s="1">
        <v>45947</v>
      </c>
      <c r="C996" s="1">
        <v>45949</v>
      </c>
      <c r="D996" t="s">
        <v>690</v>
      </c>
      <c r="E996" t="s">
        <v>599</v>
      </c>
      <c r="F996" t="s">
        <v>54</v>
      </c>
      <c r="G996" t="s">
        <v>44</v>
      </c>
      <c r="H996" t="s">
        <v>45</v>
      </c>
      <c r="I996" t="s">
        <v>46</v>
      </c>
      <c r="J996" t="s">
        <v>36</v>
      </c>
      <c r="K996" t="s">
        <v>89</v>
      </c>
      <c r="L996" t="s">
        <v>151</v>
      </c>
      <c r="M996" t="s">
        <v>152</v>
      </c>
      <c r="N996">
        <v>3</v>
      </c>
      <c r="O996">
        <v>1282800</v>
      </c>
      <c r="P996">
        <v>0.2</v>
      </c>
      <c r="Q996">
        <v>3078720</v>
      </c>
      <c r="R996">
        <v>2686277.93</v>
      </c>
      <c r="S996">
        <v>392442.07</v>
      </c>
      <c r="T996" t="s">
        <v>73</v>
      </c>
      <c r="U996" t="str">
        <f t="shared" si="45"/>
        <v>2025-10</v>
      </c>
      <c r="V996">
        <f t="shared" si="46"/>
        <v>2</v>
      </c>
      <c r="W996" s="2">
        <f t="shared" si="47"/>
        <v>0.12746923071925995</v>
      </c>
    </row>
    <row r="997" spans="1:23">
      <c r="A997" t="s">
        <v>1757</v>
      </c>
      <c r="B997" s="1">
        <v>45838</v>
      </c>
      <c r="C997" s="1">
        <v>45839</v>
      </c>
      <c r="D997" t="s">
        <v>456</v>
      </c>
      <c r="E997" t="s">
        <v>514</v>
      </c>
      <c r="F997" t="s">
        <v>54</v>
      </c>
      <c r="G997" t="s">
        <v>95</v>
      </c>
      <c r="H997" t="s">
        <v>96</v>
      </c>
      <c r="I997" t="s">
        <v>26</v>
      </c>
      <c r="J997" t="s">
        <v>27</v>
      </c>
      <c r="K997" t="s">
        <v>100</v>
      </c>
      <c r="L997" t="s">
        <v>105</v>
      </c>
      <c r="M997" t="s">
        <v>106</v>
      </c>
      <c r="N997">
        <v>2</v>
      </c>
      <c r="O997">
        <v>71400</v>
      </c>
      <c r="P997">
        <v>0.05</v>
      </c>
      <c r="Q997">
        <v>135660</v>
      </c>
      <c r="R997">
        <v>88375.69</v>
      </c>
      <c r="S997">
        <v>47284.31</v>
      </c>
      <c r="T997" t="s">
        <v>31</v>
      </c>
      <c r="U997" t="str">
        <f t="shared" si="45"/>
        <v>2025-06</v>
      </c>
      <c r="V997">
        <f t="shared" si="46"/>
        <v>1</v>
      </c>
      <c r="W997" s="2">
        <f t="shared" si="47"/>
        <v>0.34855012531328317</v>
      </c>
    </row>
    <row r="998" spans="1:23">
      <c r="A998" t="s">
        <v>1758</v>
      </c>
      <c r="B998" s="1">
        <v>45244</v>
      </c>
      <c r="C998" s="1">
        <v>45249</v>
      </c>
      <c r="D998" t="s">
        <v>1072</v>
      </c>
      <c r="E998" t="s">
        <v>300</v>
      </c>
      <c r="F998" t="s">
        <v>54</v>
      </c>
      <c r="G998" t="s">
        <v>87</v>
      </c>
      <c r="H998" t="s">
        <v>88</v>
      </c>
      <c r="I998" t="s">
        <v>46</v>
      </c>
      <c r="J998" t="s">
        <v>27</v>
      </c>
      <c r="K998" t="s">
        <v>116</v>
      </c>
      <c r="L998" t="s">
        <v>207</v>
      </c>
      <c r="M998" t="s">
        <v>208</v>
      </c>
      <c r="N998">
        <v>8</v>
      </c>
      <c r="O998">
        <v>120400</v>
      </c>
      <c r="P998">
        <v>0</v>
      </c>
      <c r="Q998">
        <v>963200</v>
      </c>
      <c r="R998">
        <v>539146.43999999994</v>
      </c>
      <c r="S998">
        <v>424053.56</v>
      </c>
      <c r="T998" t="s">
        <v>40</v>
      </c>
      <c r="U998" t="str">
        <f t="shared" si="45"/>
        <v>2023-11</v>
      </c>
      <c r="V998">
        <f t="shared" si="46"/>
        <v>5</v>
      </c>
      <c r="W998" s="2">
        <f t="shared" si="47"/>
        <v>0.4402549418604651</v>
      </c>
    </row>
    <row r="999" spans="1:23">
      <c r="A999" t="s">
        <v>1759</v>
      </c>
      <c r="B999" s="1">
        <v>45932</v>
      </c>
      <c r="C999" s="1">
        <v>45934</v>
      </c>
      <c r="D999" t="s">
        <v>114</v>
      </c>
      <c r="E999" t="s">
        <v>1531</v>
      </c>
      <c r="F999" t="s">
        <v>23</v>
      </c>
      <c r="G999" t="s">
        <v>156</v>
      </c>
      <c r="H999" t="s">
        <v>157</v>
      </c>
      <c r="I999" t="s">
        <v>57</v>
      </c>
      <c r="J999" t="s">
        <v>27</v>
      </c>
      <c r="K999" t="s">
        <v>100</v>
      </c>
      <c r="L999" t="s">
        <v>101</v>
      </c>
      <c r="M999" t="s">
        <v>102</v>
      </c>
      <c r="N999">
        <v>5</v>
      </c>
      <c r="O999">
        <v>63800</v>
      </c>
      <c r="P999">
        <v>0.15</v>
      </c>
      <c r="Q999">
        <v>271150</v>
      </c>
      <c r="R999">
        <v>185815.25</v>
      </c>
      <c r="S999">
        <v>85334.75</v>
      </c>
      <c r="T999" t="s">
        <v>40</v>
      </c>
      <c r="U999" t="str">
        <f t="shared" si="45"/>
        <v>2025-10</v>
      </c>
      <c r="V999">
        <f t="shared" si="46"/>
        <v>2</v>
      </c>
      <c r="W999" s="2">
        <f t="shared" si="47"/>
        <v>0.3147141803429836</v>
      </c>
    </row>
    <row r="1000" spans="1:23">
      <c r="A1000" t="s">
        <v>1760</v>
      </c>
      <c r="B1000" s="1">
        <v>45113</v>
      </c>
      <c r="C1000" s="1">
        <v>45119</v>
      </c>
      <c r="D1000" t="s">
        <v>1569</v>
      </c>
      <c r="E1000" t="s">
        <v>363</v>
      </c>
      <c r="F1000" t="s">
        <v>35</v>
      </c>
      <c r="G1000" t="s">
        <v>87</v>
      </c>
      <c r="H1000" t="s">
        <v>88</v>
      </c>
      <c r="I1000" t="s">
        <v>46</v>
      </c>
      <c r="J1000" t="s">
        <v>27</v>
      </c>
      <c r="K1000" t="s">
        <v>116</v>
      </c>
      <c r="L1000" t="s">
        <v>117</v>
      </c>
      <c r="M1000" t="s">
        <v>118</v>
      </c>
      <c r="N1000">
        <v>2</v>
      </c>
      <c r="O1000">
        <v>27000</v>
      </c>
      <c r="P1000">
        <v>0</v>
      </c>
      <c r="Q1000">
        <v>54000</v>
      </c>
      <c r="R1000">
        <v>28385.02</v>
      </c>
      <c r="S1000">
        <v>25614.98</v>
      </c>
      <c r="T1000" t="s">
        <v>60</v>
      </c>
      <c r="U1000" t="str">
        <f t="shared" si="45"/>
        <v>2023-07</v>
      </c>
      <c r="V1000">
        <f t="shared" si="46"/>
        <v>6</v>
      </c>
      <c r="W1000" s="2">
        <f t="shared" si="47"/>
        <v>0.47435148148148149</v>
      </c>
    </row>
    <row r="1001" spans="1:23">
      <c r="A1001" t="s">
        <v>1761</v>
      </c>
      <c r="B1001" s="1">
        <v>45699</v>
      </c>
      <c r="C1001" s="1">
        <v>45700</v>
      </c>
      <c r="D1001" t="s">
        <v>309</v>
      </c>
      <c r="E1001" t="s">
        <v>475</v>
      </c>
      <c r="F1001" t="s">
        <v>23</v>
      </c>
      <c r="G1001" t="s">
        <v>44</v>
      </c>
      <c r="H1001" t="s">
        <v>45</v>
      </c>
      <c r="I1001" t="s">
        <v>46</v>
      </c>
      <c r="J1001" t="s">
        <v>36</v>
      </c>
      <c r="K1001" t="s">
        <v>89</v>
      </c>
      <c r="L1001" t="s">
        <v>90</v>
      </c>
      <c r="M1001" t="s">
        <v>91</v>
      </c>
      <c r="N1001">
        <v>3</v>
      </c>
      <c r="O1001">
        <v>3047000</v>
      </c>
      <c r="P1001">
        <v>0.3</v>
      </c>
      <c r="Q1001">
        <v>6398700</v>
      </c>
      <c r="R1001">
        <v>6719891.0700000003</v>
      </c>
      <c r="S1001">
        <v>-321191.07</v>
      </c>
      <c r="T1001" t="s">
        <v>40</v>
      </c>
      <c r="U1001" t="str">
        <f t="shared" si="45"/>
        <v>2025-02</v>
      </c>
      <c r="V1001">
        <f t="shared" si="46"/>
        <v>1</v>
      </c>
      <c r="W1001" s="2">
        <f t="shared" si="47"/>
        <v>-5.0196300811102254E-2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7E01-8DB8-498C-A3B0-8BB29E7FE65C}">
  <dimension ref="B2:F12"/>
  <sheetViews>
    <sheetView tabSelected="1" workbookViewId="0">
      <selection activeCell="H5" sqref="H5"/>
    </sheetView>
  </sheetViews>
  <sheetFormatPr defaultRowHeight="14.5"/>
  <cols>
    <col min="1" max="1" width="14.54296875" customWidth="1"/>
    <col min="2" max="2" width="8.7265625" style="11"/>
    <col min="3" max="3" width="29.453125" style="6" customWidth="1"/>
    <col min="4" max="4" width="25.453125" style="6" customWidth="1"/>
    <col min="5" max="5" width="32.1796875" style="6" customWidth="1"/>
    <col min="6" max="6" width="24.6328125" style="6" customWidth="1"/>
  </cols>
  <sheetData>
    <row r="2" spans="2:6">
      <c r="B2" s="10" t="s">
        <v>1844</v>
      </c>
      <c r="C2" s="10" t="s">
        <v>1845</v>
      </c>
      <c r="D2" s="10" t="s">
        <v>1846</v>
      </c>
      <c r="E2" s="10" t="s">
        <v>1847</v>
      </c>
      <c r="F2" s="10" t="s">
        <v>1848</v>
      </c>
    </row>
    <row r="3" spans="2:6" ht="72.5">
      <c r="B3" s="9">
        <v>1</v>
      </c>
      <c r="C3" s="9" t="s">
        <v>1849</v>
      </c>
      <c r="D3" s="9" t="s">
        <v>1850</v>
      </c>
      <c r="E3" s="9" t="s">
        <v>1851</v>
      </c>
      <c r="F3" s="9" t="s">
        <v>1852</v>
      </c>
    </row>
    <row r="4" spans="2:6" ht="58">
      <c r="B4" s="9">
        <v>2</v>
      </c>
      <c r="C4" s="9" t="s">
        <v>1853</v>
      </c>
      <c r="D4" s="9" t="s">
        <v>1854</v>
      </c>
      <c r="E4" s="9" t="s">
        <v>1855</v>
      </c>
      <c r="F4" s="9" t="s">
        <v>1856</v>
      </c>
    </row>
    <row r="5" spans="2:6" ht="72.5">
      <c r="B5" s="9">
        <v>3</v>
      </c>
      <c r="C5" s="9" t="s">
        <v>1857</v>
      </c>
      <c r="D5" s="9" t="s">
        <v>1858</v>
      </c>
      <c r="E5" s="9" t="s">
        <v>1859</v>
      </c>
      <c r="F5" s="9" t="s">
        <v>1860</v>
      </c>
    </row>
    <row r="6" spans="2:6" ht="58">
      <c r="B6" s="9">
        <v>4</v>
      </c>
      <c r="C6" s="9" t="s">
        <v>1861</v>
      </c>
      <c r="D6" s="9" t="s">
        <v>1862</v>
      </c>
      <c r="E6" s="9" t="s">
        <v>1863</v>
      </c>
      <c r="F6" s="9" t="s">
        <v>1864</v>
      </c>
    </row>
    <row r="7" spans="2:6" ht="58">
      <c r="B7" s="9">
        <v>5</v>
      </c>
      <c r="C7" s="9" t="s">
        <v>1865</v>
      </c>
      <c r="D7" s="9" t="s">
        <v>1866</v>
      </c>
      <c r="E7" s="9" t="s">
        <v>1867</v>
      </c>
      <c r="F7" s="9" t="s">
        <v>1868</v>
      </c>
    </row>
    <row r="8" spans="2:6" ht="72.5">
      <c r="B8" s="9">
        <v>6</v>
      </c>
      <c r="C8" s="9" t="s">
        <v>1869</v>
      </c>
      <c r="D8" s="9" t="s">
        <v>1870</v>
      </c>
      <c r="E8" s="9" t="s">
        <v>1871</v>
      </c>
      <c r="F8" s="9" t="s">
        <v>1872</v>
      </c>
    </row>
    <row r="9" spans="2:6" ht="72.5">
      <c r="B9" s="9">
        <v>7</v>
      </c>
      <c r="C9" s="9" t="s">
        <v>1873</v>
      </c>
      <c r="D9" s="9" t="s">
        <v>1874</v>
      </c>
      <c r="E9" s="9" t="s">
        <v>1875</v>
      </c>
      <c r="F9" s="9" t="s">
        <v>1876</v>
      </c>
    </row>
    <row r="10" spans="2:6" ht="43.5">
      <c r="B10" s="9">
        <v>8</v>
      </c>
      <c r="C10" s="9" t="s">
        <v>1877</v>
      </c>
      <c r="D10" s="9" t="s">
        <v>1878</v>
      </c>
      <c r="E10" s="9" t="s">
        <v>1879</v>
      </c>
      <c r="F10" s="9" t="s">
        <v>1880</v>
      </c>
    </row>
    <row r="11" spans="2:6" ht="58">
      <c r="B11" s="9">
        <v>9</v>
      </c>
      <c r="C11" s="9" t="s">
        <v>1881</v>
      </c>
      <c r="D11" s="9" t="s">
        <v>1882</v>
      </c>
      <c r="E11" s="9" t="s">
        <v>1883</v>
      </c>
      <c r="F11" s="9" t="s">
        <v>1884</v>
      </c>
    </row>
    <row r="12" spans="2:6" ht="58">
      <c r="B12" s="9">
        <v>10</v>
      </c>
      <c r="C12" s="9" t="s">
        <v>1885</v>
      </c>
      <c r="D12" s="9" t="s">
        <v>1886</v>
      </c>
      <c r="E12" s="9" t="s">
        <v>1887</v>
      </c>
      <c r="F12" s="9" t="s">
        <v>1888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CEFB-51E8-42E5-A824-6DB683B9604D}">
  <dimension ref="A2:B27"/>
  <sheetViews>
    <sheetView topLeftCell="A18" workbookViewId="0">
      <selection activeCell="A20" sqref="A20:B27"/>
    </sheetView>
  </sheetViews>
  <sheetFormatPr defaultRowHeight="14.5"/>
  <cols>
    <col min="1" max="1" width="27.90625" customWidth="1"/>
    <col min="2" max="2" width="36.453125" customWidth="1"/>
  </cols>
  <sheetData>
    <row r="2" spans="1:2">
      <c r="A2" t="s">
        <v>1765</v>
      </c>
      <c r="B2" t="s">
        <v>1766</v>
      </c>
    </row>
    <row r="3" spans="1:2">
      <c r="A3" t="s">
        <v>1767</v>
      </c>
      <c r="B3" t="s">
        <v>1768</v>
      </c>
    </row>
    <row r="4" spans="1:2">
      <c r="A4" t="s">
        <v>1769</v>
      </c>
      <c r="B4" t="s">
        <v>1770</v>
      </c>
    </row>
    <row r="5" spans="1:2" ht="43.5">
      <c r="A5" t="s">
        <v>1771</v>
      </c>
      <c r="B5" s="8" t="s">
        <v>1772</v>
      </c>
    </row>
    <row r="6" spans="1:2" ht="87">
      <c r="A6" t="s">
        <v>1773</v>
      </c>
      <c r="B6" s="8" t="s">
        <v>1774</v>
      </c>
    </row>
    <row r="7" spans="1:2" ht="29">
      <c r="A7" t="s">
        <v>1775</v>
      </c>
      <c r="B7" s="8" t="s">
        <v>1776</v>
      </c>
    </row>
    <row r="8" spans="1:2">
      <c r="B8" s="8"/>
    </row>
    <row r="9" spans="1:2">
      <c r="B9" s="8"/>
    </row>
    <row r="11" spans="1:2" ht="62.5">
      <c r="A11" t="s">
        <v>1777</v>
      </c>
      <c r="B11" s="7" t="s">
        <v>1778</v>
      </c>
    </row>
    <row r="12" spans="1:2" ht="58">
      <c r="A12" t="s">
        <v>1780</v>
      </c>
      <c r="B12" s="8" t="s">
        <v>1779</v>
      </c>
    </row>
    <row r="13" spans="1:2" ht="58">
      <c r="A13" t="s">
        <v>1781</v>
      </c>
      <c r="B13" s="8" t="s">
        <v>1782</v>
      </c>
    </row>
    <row r="14" spans="1:2" ht="58">
      <c r="A14" t="s">
        <v>1783</v>
      </c>
      <c r="B14" s="8" t="s">
        <v>1784</v>
      </c>
    </row>
    <row r="15" spans="1:2" ht="58">
      <c r="A15" t="s">
        <v>1785</v>
      </c>
      <c r="B15" s="8" t="s">
        <v>1786</v>
      </c>
    </row>
    <row r="16" spans="1:2" ht="37.5">
      <c r="A16" t="s">
        <v>1787</v>
      </c>
      <c r="B16" s="7" t="s">
        <v>1788</v>
      </c>
    </row>
    <row r="17" spans="1:2">
      <c r="B17" s="7"/>
    </row>
    <row r="18" spans="1:2">
      <c r="B18" s="7"/>
    </row>
    <row r="20" spans="1:2" ht="29">
      <c r="A20" t="s">
        <v>1794</v>
      </c>
      <c r="B20" s="8" t="s">
        <v>1795</v>
      </c>
    </row>
    <row r="21" spans="1:2" ht="43.5">
      <c r="B21" s="8" t="s">
        <v>1796</v>
      </c>
    </row>
    <row r="22" spans="1:2">
      <c r="A22" t="s">
        <v>1797</v>
      </c>
      <c r="B22" t="s">
        <v>1798</v>
      </c>
    </row>
    <row r="23" spans="1:2">
      <c r="B23" t="s">
        <v>1799</v>
      </c>
    </row>
    <row r="24" spans="1:2" ht="58">
      <c r="A24" t="s">
        <v>1800</v>
      </c>
      <c r="B24" s="8" t="s">
        <v>1801</v>
      </c>
    </row>
    <row r="25" spans="1:2" ht="72.5">
      <c r="A25" t="s">
        <v>1802</v>
      </c>
      <c r="B25" s="8" t="s">
        <v>1839</v>
      </c>
    </row>
    <row r="26" spans="1:2" ht="29">
      <c r="A26" t="s">
        <v>1840</v>
      </c>
      <c r="B26" s="8" t="s">
        <v>1843</v>
      </c>
    </row>
    <row r="27" spans="1:2" ht="58">
      <c r="A27" t="s">
        <v>1841</v>
      </c>
      <c r="B27" s="8" t="s">
        <v>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 by category</vt:lpstr>
      <vt:lpstr>pivot_profit_by_category</vt:lpstr>
      <vt:lpstr>pivot sales by region</vt:lpstr>
      <vt:lpstr>pivot sales by month</vt:lpstr>
      <vt:lpstr>pivot top product by sales</vt:lpstr>
      <vt:lpstr>pivot_top_product_profit</vt:lpstr>
      <vt:lpstr>sales_performance_dataset </vt:lpstr>
      <vt:lpstr>initial_insights</vt:lpstr>
      <vt:lpstr>data_checking_notes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Sayidina</dc:creator>
  <cp:lastModifiedBy>Nadine Sayidina</cp:lastModifiedBy>
  <dcterms:created xsi:type="dcterms:W3CDTF">2026-05-16T09:52:19Z</dcterms:created>
  <dcterms:modified xsi:type="dcterms:W3CDTF">2026-05-16T12:40:05Z</dcterms:modified>
</cp:coreProperties>
</file>